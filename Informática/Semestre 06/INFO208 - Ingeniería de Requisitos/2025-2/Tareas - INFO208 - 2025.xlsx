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nformatica\Dropbox\Cursos UACh\2025\2025.2 - INFO208\"/>
    </mc:Choice>
  </mc:AlternateContent>
  <xr:revisionPtr revIDLastSave="0" documentId="13_ncr:1_{0FC9680A-35F8-40C3-8CE4-F259C7B070D7}" xr6:coauthVersionLast="47" xr6:coauthVersionMax="47" xr10:uidLastSave="{00000000-0000-0000-0000-000000000000}"/>
  <bookViews>
    <workbookView xWindow="-80" yWindow="-80" windowWidth="25760" windowHeight="15440" xr2:uid="{00000000-000D-0000-FFFF-FFFF00000000}"/>
  </bookViews>
  <sheets>
    <sheet name="Notas T1-2025" sheetId="1" r:id="rId1"/>
  </sheets>
  <definedNames>
    <definedName name="_xlnm._FilterDatabase" localSheetId="0" hidden="1">'Notas T1-2025'!$A$1:$K$52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alcChain>
</file>

<file path=xl/sharedStrings.xml><?xml version="1.0" encoding="utf-8"?>
<sst xmlns="http://schemas.openxmlformats.org/spreadsheetml/2006/main" count="339" uniqueCount="178">
  <si>
    <t>Nómina de Estudiantes</t>
  </si>
  <si>
    <t>INGENIERÍA DE REQUISITOS</t>
  </si>
  <si>
    <t>INFO208-17</t>
  </si>
  <si>
    <t>Año: 2025, Periodo:2</t>
  </si>
  <si>
    <t>Mov.</t>
  </si>
  <si>
    <t>Gr.Par.</t>
  </si>
  <si>
    <t>Rut</t>
  </si>
  <si>
    <t>Nombre Estudiante</t>
  </si>
  <si>
    <t>Estado</t>
  </si>
  <si>
    <t>Email</t>
  </si>
  <si>
    <t>Carrera</t>
  </si>
  <si>
    <t>0020243345-6</t>
  </si>
  <si>
    <t xml:space="preserve">AGUERO FICA,JONATAN ALEXIS                                                                          </t>
  </si>
  <si>
    <t xml:space="preserve">INSCRITO                                </t>
  </si>
  <si>
    <t xml:space="preserve">jonatan.aguero@alumnos.uach.cl;                   </t>
  </si>
  <si>
    <t>INGENIERÍA CIVIL EN INFORMÁTICA</t>
  </si>
  <si>
    <t>0021437208-8</t>
  </si>
  <si>
    <t xml:space="preserve">BRANA PEÑA,FELIPE ANDRES                                                                            </t>
  </si>
  <si>
    <t xml:space="preserve">felipe.brana@alumnos.uach.cl;                     </t>
  </si>
  <si>
    <t>0027090765-2</t>
  </si>
  <si>
    <t xml:space="preserve">CARLIN SARAVIA,GIORGIO ENRIQUE                                                                      </t>
  </si>
  <si>
    <t xml:space="preserve">giorgio.carlin@alumnos.uach.cl;                   </t>
  </si>
  <si>
    <t>0021888332-K</t>
  </si>
  <si>
    <t xml:space="preserve">CARRILLO SOTO,MAYRA ANTONELLA                                                                       </t>
  </si>
  <si>
    <t xml:space="preserve">mayra.carrillo@alumnos.uach.cl;                   </t>
  </si>
  <si>
    <t>0021693144-0</t>
  </si>
  <si>
    <t xml:space="preserve">CONTRERAS RAMOS,FRANCISCO MANUEL                                                                    </t>
  </si>
  <si>
    <t xml:space="preserve">francisco.contreras@alumnos.uach.cl;              </t>
  </si>
  <si>
    <t>0021154218-7</t>
  </si>
  <si>
    <t xml:space="preserve">CÓRDOVA CONCHA,NICOLÁS IGNACIO                                                                      </t>
  </si>
  <si>
    <t xml:space="preserve">nicolas.cordova@alumnos.uach.cl;                  </t>
  </si>
  <si>
    <t>0021405042-0</t>
  </si>
  <si>
    <t xml:space="preserve">CUEVAS CÁRDENAS,IAN ALEXANDER                                                                       </t>
  </si>
  <si>
    <t xml:space="preserve">ian.cuevas03@alumnos.uach.cl;                     </t>
  </si>
  <si>
    <t>0021133547-5</t>
  </si>
  <si>
    <t xml:space="preserve">CUEVAS CASTRO,SEBASTIÁN ALEJANDRO                                                                   </t>
  </si>
  <si>
    <t xml:space="preserve">sebastian.cuevas02@alumnos.uach.cl;               </t>
  </si>
  <si>
    <t>0020264883-5</t>
  </si>
  <si>
    <t xml:space="preserve">DELGADO SALDAÑA,MARCO ANTONIO                                                                       </t>
  </si>
  <si>
    <t xml:space="preserve">marco.delgado@alumnos.uach.cl;                    </t>
  </si>
  <si>
    <t>0020536454-4</t>
  </si>
  <si>
    <t xml:space="preserve">DUQUE GUZMÁN,ANTONIO ALEJANDRO                                                                      </t>
  </si>
  <si>
    <t xml:space="preserve">antonio.duque@alumnos.uach.cl;                    </t>
  </si>
  <si>
    <t>0020952420-1</t>
  </si>
  <si>
    <t xml:space="preserve">ESPINOZA FUENZALIDA,SAMANTHA LISSETTE                                                               </t>
  </si>
  <si>
    <t xml:space="preserve">samantha.espinoza@alumnos.uach.cl;                </t>
  </si>
  <si>
    <t>0021124921-8</t>
  </si>
  <si>
    <t xml:space="preserve">ESPINOZA NÚÑEZ,CRISTÓBAL FABIÁN                                                                     </t>
  </si>
  <si>
    <t xml:space="preserve">cristobal.espinoza02@alumnos.uach.cl;             </t>
  </si>
  <si>
    <t>0021240109-9</t>
  </si>
  <si>
    <t xml:space="preserve">ESTRADA IGOR,AGUSTÍN MAURICIO ALEXANDER                                                             </t>
  </si>
  <si>
    <t xml:space="preserve">agustin.estrada@alumnos.uach.cl;                  </t>
  </si>
  <si>
    <t>0021509887-7</t>
  </si>
  <si>
    <t xml:space="preserve">GAJARDO RAMÍREZ,BASTIÁN JESÚS                                                                       </t>
  </si>
  <si>
    <t xml:space="preserve">bastian.gajardo01@alumnos.uach.cl;                </t>
  </si>
  <si>
    <t>0027424010-5</t>
  </si>
  <si>
    <t xml:space="preserve">GALAZ ESANDI,LUCA                                                                                   </t>
  </si>
  <si>
    <t xml:space="preserve">luca.galaz@alumnos.uach.cl;                       </t>
  </si>
  <si>
    <t>0021376309-1</t>
  </si>
  <si>
    <t xml:space="preserve">GONZÁLEZ MARÍN,RODRIGO BENJAMÍN                                                                     </t>
  </si>
  <si>
    <t xml:space="preserve">rodrigo.gonzalez08@alumnos.uach.cl;               </t>
  </si>
  <si>
    <t>0020859124-K</t>
  </si>
  <si>
    <t xml:space="preserve">GONZÁLEZ MORALES,BENJAMÍN ANDRÉS                                                                    </t>
  </si>
  <si>
    <t xml:space="preserve">benjamin.gonzalez02@alumnos.uach.cl;              </t>
  </si>
  <si>
    <t>0021706676-K</t>
  </si>
  <si>
    <t xml:space="preserve">HABERT GARCÉS,LUCIANA IGNACIA                                                                       </t>
  </si>
  <si>
    <t xml:space="preserve">luciana.habert@alumnos.uach.cl;                   </t>
  </si>
  <si>
    <t>0021291493-2</t>
  </si>
  <si>
    <t xml:space="preserve">HERNÁNDEZ MIRANDA,FRANCISCO LEONEL                                                                  </t>
  </si>
  <si>
    <t xml:space="preserve">francisco.hernandez03@alumnos.uach.cl;            </t>
  </si>
  <si>
    <t>0021547452-6</t>
  </si>
  <si>
    <t xml:space="preserve">JAQUE LOBOS,MARTÍN ANGEL IGNACIO                                                                    </t>
  </si>
  <si>
    <t xml:space="preserve">martin.jaque@alumnos.uach.cl;                     </t>
  </si>
  <si>
    <t>0020346385-5</t>
  </si>
  <si>
    <t xml:space="preserve">JOFRÉ MONTANO,SANTIAGO ANTONIO                                                                      </t>
  </si>
  <si>
    <t xml:space="preserve">santiago.jofre@alumnos.uach.cl;                   </t>
  </si>
  <si>
    <t>0021805253-3</t>
  </si>
  <si>
    <t xml:space="preserve">LARA BRIONES,MARCELO ALEJANDRO                                                                      </t>
  </si>
  <si>
    <t xml:space="preserve">marcelo.lara@alumnos.uach.cl;                     </t>
  </si>
  <si>
    <t>0021878167-5</t>
  </si>
  <si>
    <t xml:space="preserve">LEAL CARRILLO,ANGEL GABRIEL                                                                         </t>
  </si>
  <si>
    <t xml:space="preserve">angel.leal@alumnos.uach.cl;                       </t>
  </si>
  <si>
    <t>0020918442-7</t>
  </si>
  <si>
    <t xml:space="preserve">MARTÍNEZ CERECEDA,BENJAMÍN IGNACIO                                                                  </t>
  </si>
  <si>
    <t xml:space="preserve">benjamin.martinez@alumnos.uach.cl;                </t>
  </si>
  <si>
    <t>0021535241-2</t>
  </si>
  <si>
    <t xml:space="preserve">MARTÍNEZ HERNÁNDEZ,JAVIER ALEJANDRO                                                                 </t>
  </si>
  <si>
    <t xml:space="preserve">javier.martinez02@alumnos.uach.cl;                </t>
  </si>
  <si>
    <t>0021320375-4</t>
  </si>
  <si>
    <t xml:space="preserve">MOLINA CEVERIO,NICOLÁS HERNÁN                                                                       </t>
  </si>
  <si>
    <t xml:space="preserve">nicolas.molina04@alumnos.uach.cl;                 </t>
  </si>
  <si>
    <t>0021813153-0</t>
  </si>
  <si>
    <t xml:space="preserve">MONTECINOS GATICA,EDUARDO JARED                                                                     </t>
  </si>
  <si>
    <t xml:space="preserve">eduardo.montecinos@alumnos.uach.cl;               </t>
  </si>
  <si>
    <t>0021322638-K</t>
  </si>
  <si>
    <t xml:space="preserve">MORENO DELGADO,LEONARDO DEMUEL                                                                      </t>
  </si>
  <si>
    <t xml:space="preserve">leonardo.moreno01@alumnos.uach.cl;                </t>
  </si>
  <si>
    <t>0021330910-2</t>
  </si>
  <si>
    <t xml:space="preserve">OJEDA MERCADO,ELÍAS IGNACIO                                                                         </t>
  </si>
  <si>
    <t xml:space="preserve">elias.ojeda01@alumnos.uach.cl;                    </t>
  </si>
  <si>
    <t>0020773562-0</t>
  </si>
  <si>
    <t xml:space="preserve">ORTIZ PINEDA,ANGELO SEBASTIÁN                                                                       </t>
  </si>
  <si>
    <t xml:space="preserve">angelo.ortiz@alumnos.uach.cl;                     </t>
  </si>
  <si>
    <t>0021092193-1</t>
  </si>
  <si>
    <t xml:space="preserve">ORTIZ RIQUELME,CRISTIAN FERNANDO                                                                    </t>
  </si>
  <si>
    <t xml:space="preserve">cristian.ortiz01@alumnos.uach.cl;                 </t>
  </si>
  <si>
    <t>0021391384-0</t>
  </si>
  <si>
    <t xml:space="preserve">QUINTREL POBLETE,AMARU ANDRÉS                                                                       </t>
  </si>
  <si>
    <t xml:space="preserve">amaru.quintrel@alumnos.uach.cl;                   </t>
  </si>
  <si>
    <t>0021354209-5</t>
  </si>
  <si>
    <t xml:space="preserve">REYES JARAMILLO,FELIPE AGUSTÍN ALEJANDRO                                                            </t>
  </si>
  <si>
    <t xml:space="preserve">felipe.reyes05@alumnos.uach.cl;                   </t>
  </si>
  <si>
    <t>0021309137-9</t>
  </si>
  <si>
    <t xml:space="preserve">ROJAS BARAHONA,BENJAMÍN BEN                                                                         </t>
  </si>
  <si>
    <t xml:space="preserve">benjamin.rojas02@alumnos.uach.cl;                 </t>
  </si>
  <si>
    <t>0021390414-0</t>
  </si>
  <si>
    <t xml:space="preserve">ROJAS SOTO,MARCELO SEBASTIÁN                                                                        </t>
  </si>
  <si>
    <t xml:space="preserve">marcelo.rojas01@alumnos.uach.cl;                  </t>
  </si>
  <si>
    <t>0021827375-0</t>
  </si>
  <si>
    <t xml:space="preserve">RUPAILAF QUEZADA,ALEN ORLANDO                                                                       </t>
  </si>
  <si>
    <t xml:space="preserve">alen.rupailaf@alumnos.uach.cl;                    </t>
  </si>
  <si>
    <t>0021068082-9</t>
  </si>
  <si>
    <t xml:space="preserve">SEGUEL BRAVO,ANDRÉS ESTEBAN                                                                         </t>
  </si>
  <si>
    <t xml:space="preserve">andres.seguel@alumnos.uach.cl;                    </t>
  </si>
  <si>
    <t>0020990855-7</t>
  </si>
  <si>
    <t xml:space="preserve">SILVA MENA,JOSÉ CRISTÓBAL                                                                           </t>
  </si>
  <si>
    <t xml:space="preserve">jose.silva@alumnos.uach.cl;                       </t>
  </si>
  <si>
    <t>0021049780-3</t>
  </si>
  <si>
    <t xml:space="preserve">SKILLMANN LÓPEZ,CRISTÓBAL ALONSO                                                                    </t>
  </si>
  <si>
    <t xml:space="preserve">cristobal.skillmann@alumnos.uach.cl;              </t>
  </si>
  <si>
    <t>0021652338-5</t>
  </si>
  <si>
    <t xml:space="preserve">SOTO LOMBOY,MATÍAS                                                                                  </t>
  </si>
  <si>
    <t xml:space="preserve">matias.soto@alumnos.uach.cl;                      </t>
  </si>
  <si>
    <t>0021710741-5</t>
  </si>
  <si>
    <t xml:space="preserve">SOTO VERGARA,DIEGO RONALDO HERMES                                                                   </t>
  </si>
  <si>
    <t xml:space="preserve">diego.soto06@alumnos.uach.cl;                     </t>
  </si>
  <si>
    <t>0018775204-3</t>
  </si>
  <si>
    <t xml:space="preserve">TOLEDO VARELA,MATÍAS IGNACIO                                                                        </t>
  </si>
  <si>
    <t xml:space="preserve">matias.toledo01@alumnos.uach.cl;                  </t>
  </si>
  <si>
    <t>0021575920-2</t>
  </si>
  <si>
    <t xml:space="preserve">URIBE ANDRADE,BENJAMÍN ALONSO                                                                       </t>
  </si>
  <si>
    <t xml:space="preserve">benjamin.uribe01@alumnos.uach.cl;                 </t>
  </si>
  <si>
    <t>0021707611-0</t>
  </si>
  <si>
    <t xml:space="preserve">VEAS HUEQUEMÁN,CRISTÓBAL FELIPE                                                                     </t>
  </si>
  <si>
    <t xml:space="preserve">cristobal.veas@alumnos.uach.cl;                   </t>
  </si>
  <si>
    <t>0021078598-1</t>
  </si>
  <si>
    <t xml:space="preserve">VERA QUIJÓN,LORENZO VICENTE                                                                         </t>
  </si>
  <si>
    <t xml:space="preserve">lorenzo.vera@alumnos.uach.cl;                     </t>
  </si>
  <si>
    <t>0020523218-4</t>
  </si>
  <si>
    <t xml:space="preserve">VERGARA NOVOA,GONZALO FERNANDO                                                                      </t>
  </si>
  <si>
    <t xml:space="preserve">gonzalo.vergara@alumnos.uach.cl;                  </t>
  </si>
  <si>
    <t>Generado por: Juan Salazar F., el domingo, 28 de septiembre de 2025 11:27</t>
  </si>
  <si>
    <t>Página 1 de 1</t>
  </si>
  <si>
    <t>Puntaje</t>
  </si>
  <si>
    <t>Comentarios</t>
  </si>
  <si>
    <t>Revisado</t>
  </si>
  <si>
    <t>Estado2</t>
  </si>
  <si>
    <t>1-	Completo, describieron implicancias en la imagen de la compañía si la situación continúa así. 0,5 pts
2-	La perspectiva técnica tiene una vista más un énfasis en lo Organizacional, lo cual no es puro, pero cumple en gran parte con lo que se pide. 1,5 pts
3-	Completo. 1 pts
4-	Completo, contiene todos los componentes diferenciados entre ellos. 1 pts
5-	Completo. 1 pts
6-	Diferenció completamente el sistema de actores/sistemas externos e incluyó un flujo de datos coherente. 1 pts</t>
  </si>
  <si>
    <t>1-	Buena descripción de la problemática, con supuestos razonables y solución esperada. 0,5 pts.
2-	Buen desglose de las causas, aunque preferentemente definan claramente que eje abordan, por ejemplo, incluir una columna inicial que lo defina.  1,5 pts
3-	Correcto, acorde a lo descrito en la pregunta 1. 1 pts
4-	Correcto. 1 pts
5-	Correcto. 1 pts
6-	El diagrama de contexto engloba el sistema como un todo, por lo que no se debe dividir en módulos, como la app de pago, que debería ser parte del sistema en diseños convencionales, ante lo cual tampoco presentan una justificación, como por ejemplo, describiendo que es parte de Transbank. Otro punto para tocar es que el diagrama de contexto no representa la interacción entre los distintos actores o sistemas externos. 0,3 pts.</t>
  </si>
  <si>
    <t>1-	Descripción correcta del dominio, pero deberían centrar el foco hacia la problemática general más que a cómo opera cualquier sistema de supermercado. 0,4 pts
2-	En la arista UX no se profundizó mucho en la problemática, desde el punto 3 se da vuelta en el presupuesto, no mirando otros motivos. En la arista  Técnico/Operativa sucede que se dificulta la lectura del flujo, sugiero dividirlo en 2 tablas. 1,1 pts
3-	Correcto y acorde a lo anteriormente descrito. 1 pts.
4-	Profundizar un poco más en las implicancias y beneficios. 0,8 pts
5-	Correcto. 1 pts.
6-	Correcto. 1 pts.</t>
  </si>
  <si>
    <t>1-	Correcto. 0,5 pts.
2-	Correcto, aunque sería conveniente que especificaran las aristas que utilizaron (técnica y organizacional). 1,5 pts.
3-	Simple pero al foco de lo que identificaron, pero sería mas completo si evaluaran otras problemáticas que pueden ser causa del problema, como condiciones del entorno u otros dominios (problemas de conectividad para sincronizar, sistema informático inestable, etc). 0.8 pts.
4-	Correcto. 1 pts.
5-	Correcto. 1 pts.
6-	Correcto, bien pensado en ejemplificar los sistemas externos que podrían utilizar. 1 pts.</t>
  </si>
  <si>
    <t>1-	Correcto. 0,5.
2-	Correcto, pero hubiera sido interesante abordar la perspectiva UX, la cual la mencionan en su descripción, para asegurar una solución que cumpla en su totalidad con lo descrito. 1,5 pts.
3-	Buen desglose de la problemática, identifican de gran manera las causas del problema, pero es un gran error utilizar diagramas uml para abordar su esquematización, usan componentes de un diagrama E-R, lo cual es super mal visto dadas las circunstancias, a pesar de lo anterior, fue una buena respuesta. 0,9 pts.
4-	 Correcto. 1 pts.
5-	Correcto. 1 pts.
6-	Correcto. 1 pts.
Total: 5,9  pts.</t>
  </si>
  <si>
    <t>1-	Correcto. 0,5. pts.
2-	Correcto, desarrolla correctamente los puntos, sin la necesidad de dar vueltas sobre lo mismo. 1,5 pts.
3-	Correcto. 1 pts.
4-	Correcto. 1 pts
5-	Correcto. 1 pts
6-	Correcto. 1 pts
Total: 6 pts.</t>
  </si>
  <si>
    <t>1-	Correcto. 0,5 pts.
2-	Excelente desglose, hubiera sido interesante que abordaran la perspectiva organizacional. 1,5 pts.
3-	Correcto. 1 pts.
4-	Buena redacción y acorde a lo descrito con anterioridad. 1 pts.
5-	Correcto. 1 pts.
6-	Faltó incluir el sistema de la compañía que tiene información de las rutas, buses, personal, etc, de igual manera incluir un administrador, pero fuera de eso está correcto. 0.8 pts.
Total: 5,8  pts.</t>
  </si>
  <si>
    <t>Comentarios:
1-	Correcto. 0,5 pts.
2-	Correcto, pero hubiera esperado que se hayan centrado en otro tópico mas que en escalabilidad, como la interfaz poco intuitiva. 1,5 pts.
3-	Correcto. 1 pts.
4-	Dar más énfasis al impacto positivo que a la plataforma. 1pts.
5-	Correcto. 1 pts.
6-	En los diagramas de contexto no se describe las interaciones entre actores/sistemas externos, solo las interacciones entre el sistema y el entorno. 0,5.
Total: 5,5 pts.</t>
  </si>
  <si>
    <t>1-	Correcto y suposiciones dentro de lo esperado. 0,5 pts.
2-	Correcto, aborda de manera exploratoria las posibilidades. 1,5 pts.
3-	Correcto, aborda todo lo mencionado en la 1. 1 pts.
4-	Correcto. 1 pts.
5-	Correcto. 1 pts.
6-	Un simple detalle en la parte de SS0, donde debería recibir una confirmación de sesión, pero buen planteamiento del contexto. 1 pts.</t>
  </si>
  <si>
    <t>1-	Correcto y bien fundamentado. 0,5 pts.
2-	Excelente desglose e identificación de las causas raíz. 1,5 pts.
3-	Correcto. 1 pts.
4-	Buena redacción y acorde a lo que describieron. 1 pts.
5-	Correcto. 1 pts.
6-	Tanto fila como medicamentos no serian un agente extrerno, ya que el sistema no tendría un flujo de comunicación directo con esa entidad, medicamento podría venir desde el inventario directamente, mientras que la fila es más un proceso interno que un actor externo.  0,5 pts.</t>
  </si>
  <si>
    <t>1-	Correcta. 0,5 pts.
2-	El caso técnico logra llegar a conclusiones claras, pero desde la perspectiva del usuario no se logra encontrar una causa raíz que no sea algo mas bien externo a la organización, pudo concluir en la falta de escalabilidad, conectando con la raíz técnica. 1 pts.
3-	Falta en el desarrollo de las causas, no se describe el problema central, pudieron colocar más categorías (personas, por ejemplo) y añadir más causas desde el punto de vista técnico y de procesos. 0,3
4-	Correcto. 1 pts.
5-	Correcto. 1 pts.
6-	Falto incluir mas actores externos que pueden influir en el sistema y con el cual claramente el sistema se debe comunicar, como el sistema interno de la compañía, trabajadores, administradores. El diagrama de contexto no tiene concordancia con la solución no tiene concordancia con la solución propuesta, faltó algún componente que brinde escalabilidad y la conexión con algún sistema externo que brinde información sobre los buses y sus asientos. 0,2 pts.</t>
  </si>
  <si>
    <t>1-	Correcto. 0,5 pts.
2-	Correctamente definida las causas y los problemas raíces. 1,5 pts.
3-	Acordes los dominios, peros algunas causas no son causas en realidad, como el personal de la farmacia, que no es una causa, podría ser la poca capacitación del personal de la farmacia, por ejemplo. 0,7 pts.
4-	Correcto. 1 pts.
5-	Correcto. 1 pts.
6-	El sistema de inventario y la base de datos deberían ser parte del sistema de manera integral, ya que gestionar los medicamentos es parte de la construcción del software, según lo descrito con anterioridad, hace falta una integración de datos, lo cual no se lograría teniendo en cuenta que no existiría una vinculación directa conformando una plataforma unificada. 0,7 pts.</t>
  </si>
  <si>
    <t>1-	Correctas suposiciones y desarrollo de la problemática. 0,5 pts.
2-	Correcto. 1,5 pts.
3-	Bien establecidas las causas, pero tiene una jerarquía no tan clara en algunas espinas y la “Pérdida de confianza de los usuarios” o  la “Pérdida de tiempos para los usuarios” es más bien una consecuencia que una causa. 0.6 pts.
4-	Bien estructurado y definido, pero falto abarcar con mayor completitud el problema, es decir, que sea más concreto. Por parte de las implicancias estás pudieron ser más fuertes, ejemplo:  “lo que impacta en la satisfacción de los estudiantes, incrementa reclamos y aumenta la carga operativa del personal de biblioteca”. 0.8 pts.
5-	Correcto. 1 pts.
6-	Correcto. 1 pts.</t>
  </si>
  <si>
    <t>1-	Correcto. 0,5 pts.
2-	En su perspectiva organizacional abordan el problema bajo ese eje casi al final de sus causas, este pareciera ser más una perspectiva técnica, pudieron comenzar con una pregunta más orientada a ese ámbito (¿Por qué hay mala gestión de reservas? : Porque no existen procesos claros para actualizar la disponibilidad en tiempo real.) y la segunda perspectiva es organizacional, solo cambiando el título de como lo abordan estaría completamente bueno. 1 pts.
3-	Sobrecarga de funcionarios es más una consecuencia que una causa. 0,9 pts.
4-	Correcto. 1 pts.
5-	Mezclan el para y el quienes, los actores no deberían ir en esa sección de “Quienes”. 0,8 pts.
6-	Correcto. 1 pts.</t>
  </si>
  <si>
    <t>1-	Correcto. 0,5 pts.
2-	Correcto. 1,5 pts.
3-	Correctamente definido y jerarquizado. 1 pts.
4-	Correcto. 1 pts.
5-	Correcto. 1 pts.
6-	Correcto. 1 pts.</t>
  </si>
  <si>
    <t>1-	Correcto. 0,5 pts.
2-	Correcto y relacionado con lo anteriormente expuesto. 1,5 pts.
3-	Correcto. 1 pts.
4-	En la sección de visión pudieron colocar la situación futura de la organización, describiendo la ventaja competitiva por ejemplo. 1 pts.
5-	Correcto. 1 pts.
6-	Falto definir al cliente como actor, ya que también hay un flujo de información entre el y la app. 0,8 pts.</t>
  </si>
  <si>
    <t>1-	Correcto. 0,5 pts.
2-	Un poco genéricas las causales, se pudo especificar más. 1,5 pts.
3-	Correcto, aunque la problemática principal pudo ser más desarrollada y no tan especifica, “Sobrecupo en las salas de clases durante el proceso de inscripción, generando desorganización académica y sobrecarga administrativa.” 1 pts.
4-	Correcto. 1 pts.
5-	Correcto. 1 pts.
6-	Este tipo de sistema deberían conectarse ala red central de la universidad, para obtener datos de matrículas, cursos, etc. Por lo demás, está correcto. 0,8.</t>
  </si>
  <si>
    <t>1-	Pudieron describir aún más la problemática. 0,4 pts.
2-	Correcto. 1,5 pts.
3-	Correcto, aunque pudieron complementar más el problema. 1 pts.
4-	Correcto. 1 pts.
5-	Correcto. 1 pts.
6-	Falto definir correctamente el flujo de datos entre la pasarela y la app, además de que solo hay que abordar la comunicación entre el sistema y el entorno, no entre el entorno, su modulo de servicio al cliente corresponde  más a un diagrama de módulos. 0,5 pts.</t>
  </si>
  <si>
    <t>1-	Correctamente argumentado e identificado los stakeholders. 0,5 pts.
2-	Correcto. 1,5 pts.
3-	Falta complementarlo mas con lo que se describió en un inicio, como que falta un sistema de monitoreo, falta de capacitación, mejores servidores, etc. 0 pts
4-	Correcto. 1 pts.
5-	Correcto. 1 pts.
6-	La base de datos es propia del sistema, no una entidad del entorno y se podría conectar a un sistema ya existente en la universidad. 0.5 pts
Total: 4,5  pts.</t>
  </si>
  <si>
    <t>1-	Correcto. 0,5 pts.
2-	Correcto. 1,5 pts.
3-	Correcto, pero la frustración es más bien un efecto más que una causa, lo mismo con la dependencia de un asistente. 0.6 pts.
4-	Correcto. 1 pts.
5-	Correcto. 1 pts.
6-	Correcto. 1 pts.</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</si>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</sst>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21"/>
      <name val="Times New Roman"/>
    </font>
    <font>
      <sz val="12"/>
      <name val="Times New Roman"/>
    </font>
    <font>
      <sz val="10"/>
      <name val="Times New Roman"/>
    </font>
    <font>
      <b/>
      <sz val="11"/>
      <name val="Arial"/>
    </font>
    <font>
      <sz val="9"/>
      <name val="Arial"/>
    </font>
    <font>
      <sz val="8"/>
      <name val="Arial"/>
    </font>
    <font>
      <b/>
      <sz val="11"/>
      <name val="Arial"/>
      <family val="2"/>
    </font>
    <font>
      <sz val="9"/>
      <name val="Arial"/>
      <family val="2"/>
    </font>
    <font>
      <u/>
      <sz val="11"/>
      <color theme="1"/>
      <name val="Calibri"/>
      <family val="2"/>
      <scheme val="minor"/>
    </font>
    <font>
      <u/>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4" fillId="0" borderId="0" xfId="0" applyFont="1" applyAlignment="1">
      <alignment horizontal="left" vertical="top" wrapText="1" shrinkToFit="1" readingOrder="1"/>
    </xf>
    <xf numFmtId="49" fontId="5" fillId="0" borderId="0" xfId="0" applyNumberFormat="1" applyFont="1" applyAlignment="1">
      <alignment horizontal="left" vertical="top" wrapText="1" shrinkToFit="1" readingOrder="1"/>
    </xf>
    <xf numFmtId="0" fontId="5" fillId="0" borderId="0" xfId="0" applyFont="1" applyAlignment="1">
      <alignment horizontal="left" vertical="top" wrapText="1" shrinkToFit="1" readingOrder="1"/>
    </xf>
    <xf numFmtId="49" fontId="6" fillId="0" borderId="0" xfId="0" applyNumberFormat="1" applyFont="1" applyAlignment="1">
      <alignment horizontal="right" vertical="top" wrapText="1" shrinkToFit="1" readingOrder="1"/>
    </xf>
    <xf numFmtId="0" fontId="7" fillId="0" borderId="0" xfId="0" applyFont="1" applyAlignment="1">
      <alignment horizontal="left" vertical="top" wrapText="1" shrinkToFit="1" readingOrder="1"/>
    </xf>
    <xf numFmtId="49" fontId="8" fillId="0" borderId="0" xfId="0" applyNumberFormat="1" applyFont="1" applyAlignment="1">
      <alignment horizontal="left" vertical="top" wrapText="1" shrinkToFit="1" readingOrder="1"/>
    </xf>
    <xf numFmtId="0" fontId="0" fillId="0" borderId="0" xfId="0" applyAlignment="1">
      <alignment wrapText="1"/>
    </xf>
    <xf numFmtId="0" fontId="9" fillId="0" borderId="0" xfId="0" applyFont="1"/>
    <xf numFmtId="49" fontId="10" fillId="0" borderId="0" xfId="0" applyNumberFormat="1" applyFont="1" applyAlignment="1">
      <alignment horizontal="left" vertical="top" wrapText="1" shrinkToFit="1" readingOrder="1"/>
    </xf>
    <xf numFmtId="0" fontId="1" fillId="0" borderId="0" xfId="0" applyFont="1" applyAlignment="1">
      <alignment horizontal="left" vertical="top" wrapText="1" shrinkToFit="1" readingOrder="1"/>
    </xf>
    <xf numFmtId="0" fontId="2" fillId="0" borderId="0" xfId="0" applyFont="1" applyAlignment="1">
      <alignment horizontal="left" vertical="top" wrapText="1" shrinkToFit="1" readingOrder="1"/>
    </xf>
    <xf numFmtId="0" fontId="3" fillId="0" borderId="0" xfId="0" applyFont="1" applyAlignment="1">
      <alignment horizontal="left" vertical="top" wrapText="1" shrinkToFit="1" readingOrder="1"/>
    </xf>
    <xf numFmtId="0" fontId="6" fillId="0" borderId="0" xfId="0" applyFont="1" applyAlignment="1">
      <alignment horizontal="left" vertical="top" wrapText="1" shrinkToFit="1" readingOrder="1"/>
    </xf>
  </cellXfs>
  <cellStyles count="1">
    <cellStyle name="Normal" xfId="0" builtinId="0"/>
  </cellStyles>
  <dxfs count="12">
    <dxf>
      <font>
        <color theme="1"/>
      </font>
      <fill>
        <patternFill>
          <bgColor theme="9"/>
        </patternFill>
      </fill>
    </dxf>
    <dxf>
      <fill>
        <patternFill>
          <bgColor rgb="FFFF0000"/>
        </patternFill>
      </fill>
    </dxf>
    <dxf>
      <numFmt numFmtId="0" formatCode="General"/>
    </dxf>
    <dxf>
      <font>
        <b val="0"/>
        <i val="0"/>
        <strike val="0"/>
        <condense val="0"/>
        <extend val="0"/>
        <outline val="0"/>
        <shadow val="0"/>
        <u val="none"/>
        <vertAlign val="baseline"/>
        <sz val="9"/>
        <color auto="1"/>
        <name val="Arial"/>
        <family val="2"/>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i val="0"/>
        <strike val="0"/>
        <condense val="0"/>
        <extend val="0"/>
        <outline val="0"/>
        <shadow val="0"/>
        <u val="none"/>
        <vertAlign val="baseline"/>
        <sz val="11"/>
        <color auto="1"/>
        <name val="Arial"/>
        <family val="2"/>
        <scheme val="none"/>
      </font>
      <alignment horizontal="left" vertical="top" textRotation="0" wrapText="1" indent="0" justifyLastLine="0" shrinkToFit="1"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BAE91F-44B2-4931-9197-26B6AD6F4315}" name="Tabla2" displayName="Tabla2" ref="A5:K51" totalsRowShown="0" headerRowDxfId="11">
  <autoFilter ref="A5:K51" xr:uid="{63BAE91F-44B2-4931-9197-26B6AD6F4315}"/>
  <tableColumns count="11">
    <tableColumn id="1" xr3:uid="{3ED1956A-F172-4718-B5A5-C8C4AFC8793B}" name="Mov." dataDxfId="10"/>
    <tableColumn id="2" xr3:uid="{53834AAD-DDC6-45E8-ABA7-939E90260E63}" name="Gr.Par." dataDxfId="9"/>
    <tableColumn id="3" xr3:uid="{FB1B616A-FA5A-4C56-94E8-FC7B7185881B}" name="Rut" dataDxfId="8"/>
    <tableColumn id="4" xr3:uid="{9E58B65F-3769-478C-926C-0C7ADE8C6148}" name="Nombre Estudiante" dataDxfId="7"/>
    <tableColumn id="5" xr3:uid="{ED06CB7C-73B3-4921-9F59-F06C512FB1AC}" name="Estado" dataDxfId="6"/>
    <tableColumn id="6" xr3:uid="{D85F7102-0674-48C9-94FA-E2013C40925D}" name="Email" dataDxfId="5"/>
    <tableColumn id="7" xr3:uid="{61606DB6-CFD2-4A3A-9801-25702846209E}" name="Carrera" dataDxfId="4"/>
    <tableColumn id="9" xr3:uid="{970CCA5A-1005-4D00-9FCE-4556F3BA0E75}" name="Estado2" dataDxfId="3"/>
    <tableColumn id="10" xr3:uid="{9CB0A07C-529C-4BA6-9814-8D06462F2761}" name="Puntaje"/>
    <tableColumn id="11" xr3:uid="{6C5D3068-9346-4B70-B555-E3F55583721F}" name="Comentarios"/>
    <tableColumn id="8" xr3:uid="{83AC519E-892E-4D9E-9AC1-04BA0D502482}" name="Nota" dataDxfId="2">
      <calculatedColumnFormula>Tabla2[[#This Row],[Puntaje]]+1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52"/>
  <sheetViews>
    <sheetView tabSelected="1" zoomScale="85" zoomScaleNormal="85" workbookViewId="0">
      <selection activeCell="A29" sqref="A29:XFD29"/>
    </sheetView>
  </sheetViews>
  <sheetFormatPr baseColWidth="10" defaultRowHeight="14.5" x14ac:dyDescent="0.35"/>
  <cols>
    <col min="1" max="1" width="8" customWidth="1"/>
    <col min="2" max="2" width="9.54296875" customWidth="1"/>
    <col min="3" max="3" width="11.54296875" customWidth="1"/>
    <col min="4" max="4" width="28.453125" customWidth="1"/>
    <col min="5" max="5" width="10.54296875" customWidth="1"/>
    <col min="6" max="6" width="25.08984375" customWidth="1"/>
    <col min="7" max="7" width="11.6328125" customWidth="1"/>
    <col min="8" max="8" width="20.81640625" customWidth="1"/>
    <col min="9" max="9" width="9.81640625" customWidth="1"/>
    <col min="10" max="10" width="48.26953125" customWidth="1"/>
    <col min="11" max="11" width="16.453125" customWidth="1"/>
  </cols>
  <sheetData>
    <row r="1" spans="1:14" ht="26.5" x14ac:dyDescent="0.35">
      <c r="A1" s="10" t="s">
        <v>0</v>
      </c>
      <c r="B1" s="10"/>
      <c r="C1" s="10"/>
      <c r="D1" s="10"/>
      <c r="E1" s="10"/>
      <c r="F1" s="10"/>
      <c r="G1" s="10"/>
      <c r="H1" s="10"/>
    </row>
    <row r="2" spans="1:14" ht="15.5" x14ac:dyDescent="0.35">
      <c r="A2" s="11" t="s">
        <v>1</v>
      </c>
      <c r="B2" s="11"/>
      <c r="C2" s="11"/>
      <c r="D2" s="11"/>
      <c r="E2" s="11"/>
      <c r="F2" s="11"/>
      <c r="G2" s="11"/>
      <c r="H2" s="11"/>
    </row>
    <row r="3" spans="1:14" ht="15.5" x14ac:dyDescent="0.35">
      <c r="A3" s="11" t="s">
        <v>2</v>
      </c>
      <c r="B3" s="11"/>
      <c r="C3" s="11"/>
      <c r="D3" s="11"/>
      <c r="E3" s="11"/>
      <c r="F3" s="11"/>
      <c r="G3" s="11"/>
      <c r="H3" s="11"/>
      <c r="N3" s="8"/>
    </row>
    <row r="4" spans="1:14" x14ac:dyDescent="0.35">
      <c r="A4" s="12" t="s">
        <v>3</v>
      </c>
      <c r="B4" s="12"/>
      <c r="C4" s="12"/>
      <c r="D4" s="12"/>
      <c r="E4" s="12"/>
      <c r="F4" s="12"/>
      <c r="G4" s="12"/>
      <c r="H4" s="12"/>
    </row>
    <row r="5" spans="1:14" x14ac:dyDescent="0.35">
      <c r="A5" s="1" t="s">
        <v>4</v>
      </c>
      <c r="B5" s="1" t="s">
        <v>5</v>
      </c>
      <c r="C5" s="1" t="s">
        <v>6</v>
      </c>
      <c r="D5" s="1" t="s">
        <v>7</v>
      </c>
      <c r="E5" s="1" t="s">
        <v>8</v>
      </c>
      <c r="F5" s="1" t="s">
        <v>9</v>
      </c>
      <c r="G5" s="1" t="s">
        <v>10</v>
      </c>
      <c r="H5" s="5" t="s">
        <v>156</v>
      </c>
      <c r="I5" s="5" t="s">
        <v>153</v>
      </c>
      <c r="J5" s="5" t="s">
        <v>154</v>
      </c>
      <c r="K5" s="5" t="s">
        <v>177</v>
      </c>
    </row>
    <row r="6" spans="1:14" ht="101.5" x14ac:dyDescent="0.35">
      <c r="A6" s="2"/>
      <c r="B6" s="3">
        <v>0</v>
      </c>
      <c r="C6" s="2" t="s">
        <v>11</v>
      </c>
      <c r="D6" s="2" t="s">
        <v>12</v>
      </c>
      <c r="E6" s="2" t="s">
        <v>13</v>
      </c>
      <c r="F6" s="2" t="s">
        <v>14</v>
      </c>
      <c r="G6" s="2" t="s">
        <v>15</v>
      </c>
      <c r="H6" s="6" t="s">
        <v>155</v>
      </c>
      <c r="I6">
        <v>6</v>
      </c>
      <c r="J6" s="7" t="s">
        <v>162</v>
      </c>
      <c r="K6">
        <f>Tabla2[[#This Row],[Puntaje]]+1</f>
        <v>7</v>
      </c>
    </row>
    <row r="7" spans="1:14" ht="130.5" x14ac:dyDescent="0.35">
      <c r="A7" s="2"/>
      <c r="B7" s="3">
        <v>0</v>
      </c>
      <c r="C7" s="2" t="s">
        <v>16</v>
      </c>
      <c r="D7" s="2" t="s">
        <v>17</v>
      </c>
      <c r="E7" s="2" t="s">
        <v>13</v>
      </c>
      <c r="F7" s="2" t="s">
        <v>18</v>
      </c>
      <c r="G7" s="2" t="s">
        <v>15</v>
      </c>
      <c r="H7" s="6" t="s">
        <v>155</v>
      </c>
      <c r="I7">
        <v>5.2</v>
      </c>
      <c r="J7" s="7" t="s">
        <v>170</v>
      </c>
      <c r="K7">
        <f>Tabla2[[#This Row],[Puntaje]]+1</f>
        <v>6.2</v>
      </c>
    </row>
    <row r="8" spans="1:14" ht="101.5" x14ac:dyDescent="0.35">
      <c r="A8" s="2"/>
      <c r="B8" s="3">
        <v>0</v>
      </c>
      <c r="C8" s="2" t="s">
        <v>19</v>
      </c>
      <c r="D8" s="2" t="s">
        <v>20</v>
      </c>
      <c r="E8" s="2" t="s">
        <v>13</v>
      </c>
      <c r="F8" s="2" t="s">
        <v>21</v>
      </c>
      <c r="G8" s="2" t="s">
        <v>15</v>
      </c>
      <c r="H8" s="6" t="s">
        <v>155</v>
      </c>
      <c r="I8">
        <v>5.5</v>
      </c>
      <c r="J8" s="7" t="s">
        <v>166</v>
      </c>
      <c r="K8" s="8">
        <f>Tabla2[[#This Row],[Puntaje]]+1</f>
        <v>6.5</v>
      </c>
    </row>
    <row r="9" spans="1:14" ht="116" x14ac:dyDescent="0.35">
      <c r="A9" s="2"/>
      <c r="B9" s="3">
        <v>0</v>
      </c>
      <c r="C9" s="2" t="s">
        <v>22</v>
      </c>
      <c r="D9" s="2" t="s">
        <v>23</v>
      </c>
      <c r="E9" s="2" t="s">
        <v>13</v>
      </c>
      <c r="F9" s="2" t="s">
        <v>24</v>
      </c>
      <c r="G9" s="2" t="s">
        <v>15</v>
      </c>
      <c r="H9" s="6" t="s">
        <v>155</v>
      </c>
      <c r="I9">
        <v>5.8</v>
      </c>
      <c r="J9" s="7" t="s">
        <v>173</v>
      </c>
      <c r="K9" s="8">
        <f>Tabla2[[#This Row],[Puntaje]]+1</f>
        <v>6.8</v>
      </c>
    </row>
    <row r="10" spans="1:14" ht="130.5" x14ac:dyDescent="0.35">
      <c r="A10" s="2"/>
      <c r="B10" s="3">
        <v>0</v>
      </c>
      <c r="C10" s="2" t="s">
        <v>25</v>
      </c>
      <c r="D10" s="2" t="s">
        <v>26</v>
      </c>
      <c r="E10" s="2" t="s">
        <v>13</v>
      </c>
      <c r="F10" s="2" t="s">
        <v>27</v>
      </c>
      <c r="G10" s="2" t="s">
        <v>15</v>
      </c>
      <c r="H10" s="6" t="s">
        <v>155</v>
      </c>
      <c r="I10">
        <v>5.5</v>
      </c>
      <c r="J10" s="7" t="s">
        <v>164</v>
      </c>
      <c r="K10">
        <f>Tabla2[[#This Row],[Puntaje]]+1</f>
        <v>6.5</v>
      </c>
    </row>
    <row r="11" spans="1:14" ht="101.5" x14ac:dyDescent="0.35">
      <c r="A11" s="2"/>
      <c r="B11" s="3">
        <v>0</v>
      </c>
      <c r="C11" s="2" t="s">
        <v>28</v>
      </c>
      <c r="D11" s="2" t="s">
        <v>29</v>
      </c>
      <c r="E11" s="2" t="s">
        <v>13</v>
      </c>
      <c r="F11" s="2" t="s">
        <v>30</v>
      </c>
      <c r="G11" s="2" t="s">
        <v>15</v>
      </c>
      <c r="H11" s="6" t="s">
        <v>155</v>
      </c>
      <c r="I11">
        <v>5.4</v>
      </c>
      <c r="J11" s="7" t="s">
        <v>174</v>
      </c>
      <c r="K11">
        <f>Tabla2[[#This Row],[Puntaje]]+1</f>
        <v>6.4</v>
      </c>
    </row>
    <row r="12" spans="1:14" ht="130.5" x14ac:dyDescent="0.35">
      <c r="A12" s="2"/>
      <c r="B12" s="3">
        <v>0</v>
      </c>
      <c r="C12" s="2" t="s">
        <v>31</v>
      </c>
      <c r="D12" s="2" t="s">
        <v>32</v>
      </c>
      <c r="E12" s="2" t="s">
        <v>13</v>
      </c>
      <c r="F12" s="2" t="s">
        <v>33</v>
      </c>
      <c r="G12" s="2" t="s">
        <v>15</v>
      </c>
      <c r="H12" s="6" t="s">
        <v>155</v>
      </c>
      <c r="I12">
        <v>5.4</v>
      </c>
      <c r="J12" s="7" t="s">
        <v>169</v>
      </c>
      <c r="K12">
        <f>Tabla2[[#This Row],[Puntaje]]+1</f>
        <v>6.4</v>
      </c>
    </row>
    <row r="13" spans="1:14" ht="101.5" x14ac:dyDescent="0.35">
      <c r="A13" s="2"/>
      <c r="B13" s="3">
        <v>0</v>
      </c>
      <c r="C13" s="2" t="s">
        <v>34</v>
      </c>
      <c r="D13" s="2" t="s">
        <v>35</v>
      </c>
      <c r="E13" s="2" t="s">
        <v>13</v>
      </c>
      <c r="F13" s="2" t="s">
        <v>36</v>
      </c>
      <c r="G13" s="2" t="s">
        <v>15</v>
      </c>
      <c r="H13" s="6" t="s">
        <v>155</v>
      </c>
      <c r="I13">
        <v>5.4</v>
      </c>
      <c r="J13" s="7" t="s">
        <v>174</v>
      </c>
      <c r="K13">
        <f>Tabla2[[#This Row],[Puntaje]]+1</f>
        <v>6.4</v>
      </c>
    </row>
    <row r="14" spans="1:14" ht="116" x14ac:dyDescent="0.35">
      <c r="A14" s="2"/>
      <c r="B14" s="3">
        <v>0</v>
      </c>
      <c r="C14" s="2" t="s">
        <v>37</v>
      </c>
      <c r="D14" s="2" t="s">
        <v>38</v>
      </c>
      <c r="E14" s="2" t="s">
        <v>13</v>
      </c>
      <c r="F14" s="2" t="s">
        <v>39</v>
      </c>
      <c r="G14" s="2" t="s">
        <v>15</v>
      </c>
      <c r="H14" s="6" t="s">
        <v>155</v>
      </c>
      <c r="I14">
        <v>5.3</v>
      </c>
      <c r="J14" s="7" t="s">
        <v>159</v>
      </c>
      <c r="K14">
        <f>Tabla2[[#This Row],[Puntaje]]+1</f>
        <v>6.3</v>
      </c>
    </row>
    <row r="15" spans="1:14" ht="116" x14ac:dyDescent="0.35">
      <c r="A15" s="2"/>
      <c r="B15" s="3">
        <v>0</v>
      </c>
      <c r="C15" s="2" t="s">
        <v>40</v>
      </c>
      <c r="D15" s="2" t="s">
        <v>41</v>
      </c>
      <c r="E15" s="2" t="s">
        <v>13</v>
      </c>
      <c r="F15" s="2" t="s">
        <v>42</v>
      </c>
      <c r="G15" s="2" t="s">
        <v>15</v>
      </c>
      <c r="H15" s="6" t="s">
        <v>155</v>
      </c>
      <c r="I15">
        <v>5.3</v>
      </c>
      <c r="J15" s="7" t="s">
        <v>159</v>
      </c>
      <c r="K15">
        <f>Tabla2[[#This Row],[Puntaje]]+1</f>
        <v>6.3</v>
      </c>
    </row>
    <row r="16" spans="1:14" ht="87" x14ac:dyDescent="0.35">
      <c r="A16" s="2"/>
      <c r="B16" s="3">
        <v>0</v>
      </c>
      <c r="C16" s="2" t="s">
        <v>43</v>
      </c>
      <c r="D16" s="2" t="s">
        <v>44</v>
      </c>
      <c r="E16" s="2" t="s">
        <v>13</v>
      </c>
      <c r="F16" s="2" t="s">
        <v>45</v>
      </c>
      <c r="G16" s="2" t="s">
        <v>15</v>
      </c>
      <c r="H16" s="6" t="s">
        <v>155</v>
      </c>
      <c r="I16">
        <v>5.6</v>
      </c>
      <c r="J16" s="7" t="s">
        <v>176</v>
      </c>
      <c r="K16">
        <f>Tabla2[[#This Row],[Puntaje]]+1</f>
        <v>6.6</v>
      </c>
    </row>
    <row r="17" spans="1:12" ht="87" x14ac:dyDescent="0.35">
      <c r="A17" s="2"/>
      <c r="B17" s="3">
        <v>0</v>
      </c>
      <c r="C17" s="2" t="s">
        <v>46</v>
      </c>
      <c r="D17" s="2" t="s">
        <v>47</v>
      </c>
      <c r="E17" s="2" t="s">
        <v>13</v>
      </c>
      <c r="F17" s="2" t="s">
        <v>48</v>
      </c>
      <c r="G17" s="2" t="s">
        <v>15</v>
      </c>
      <c r="H17" s="6" t="s">
        <v>155</v>
      </c>
      <c r="I17">
        <v>6</v>
      </c>
      <c r="J17" s="7" t="s">
        <v>157</v>
      </c>
      <c r="K17">
        <f>Tabla2[[#This Row],[Puntaje]]+1</f>
        <v>7</v>
      </c>
    </row>
    <row r="18" spans="1:12" ht="130.5" x14ac:dyDescent="0.35">
      <c r="A18" s="2"/>
      <c r="B18" s="3">
        <v>0</v>
      </c>
      <c r="C18" s="2" t="s">
        <v>49</v>
      </c>
      <c r="D18" s="2" t="s">
        <v>50</v>
      </c>
      <c r="E18" s="2" t="s">
        <v>13</v>
      </c>
      <c r="F18" s="2" t="s">
        <v>51</v>
      </c>
      <c r="G18" s="2" t="s">
        <v>15</v>
      </c>
      <c r="H18" s="6" t="s">
        <v>155</v>
      </c>
      <c r="I18">
        <v>5.2</v>
      </c>
      <c r="J18" s="7" t="s">
        <v>170</v>
      </c>
      <c r="K18">
        <f>Tabla2[[#This Row],[Puntaje]]+1</f>
        <v>6.2</v>
      </c>
    </row>
    <row r="19" spans="1:12" ht="101.5" x14ac:dyDescent="0.35">
      <c r="A19" s="2"/>
      <c r="B19" s="3">
        <v>0</v>
      </c>
      <c r="C19" s="2" t="s">
        <v>52</v>
      </c>
      <c r="D19" s="2" t="s">
        <v>53</v>
      </c>
      <c r="E19" s="2" t="s">
        <v>13</v>
      </c>
      <c r="F19" s="2" t="s">
        <v>54</v>
      </c>
      <c r="G19" s="2" t="s">
        <v>15</v>
      </c>
      <c r="H19" s="6" t="s">
        <v>155</v>
      </c>
      <c r="I19">
        <v>5.8</v>
      </c>
      <c r="J19" s="7" t="s">
        <v>160</v>
      </c>
      <c r="K19" s="8">
        <f>Tabla2[[#This Row],[Puntaje]]+1</f>
        <v>6.8</v>
      </c>
    </row>
    <row r="20" spans="1:12" ht="130.5" x14ac:dyDescent="0.35">
      <c r="A20" s="2"/>
      <c r="B20" s="3">
        <v>0</v>
      </c>
      <c r="C20" s="2" t="s">
        <v>55</v>
      </c>
      <c r="D20" s="2" t="s">
        <v>56</v>
      </c>
      <c r="E20" s="2" t="s">
        <v>13</v>
      </c>
      <c r="F20" s="2" t="s">
        <v>57</v>
      </c>
      <c r="G20" s="2" t="s">
        <v>15</v>
      </c>
      <c r="H20" s="6" t="s">
        <v>155</v>
      </c>
      <c r="I20">
        <v>5.4</v>
      </c>
      <c r="J20" s="7" t="s">
        <v>169</v>
      </c>
      <c r="K20">
        <f>Tabla2[[#This Row],[Puntaje]]+1</f>
        <v>6.4</v>
      </c>
    </row>
    <row r="21" spans="1:12" ht="116" x14ac:dyDescent="0.35">
      <c r="A21" s="2"/>
      <c r="B21" s="3">
        <v>0</v>
      </c>
      <c r="C21" s="2" t="s">
        <v>58</v>
      </c>
      <c r="D21" s="2" t="s">
        <v>59</v>
      </c>
      <c r="E21" s="2" t="s">
        <v>13</v>
      </c>
      <c r="F21" s="2" t="s">
        <v>60</v>
      </c>
      <c r="G21" s="2" t="s">
        <v>15</v>
      </c>
      <c r="H21" s="6" t="s">
        <v>155</v>
      </c>
      <c r="I21">
        <v>4.5</v>
      </c>
      <c r="J21" s="7" t="s">
        <v>175</v>
      </c>
      <c r="K21" s="8">
        <f>Tabla2[[#This Row],[Puntaje]]+1</f>
        <v>5.5</v>
      </c>
    </row>
    <row r="22" spans="1:12" ht="145" x14ac:dyDescent="0.35">
      <c r="A22" s="2"/>
      <c r="B22" s="3">
        <v>0</v>
      </c>
      <c r="C22" s="2" t="s">
        <v>61</v>
      </c>
      <c r="D22" s="2" t="s">
        <v>62</v>
      </c>
      <c r="E22" s="2" t="s">
        <v>13</v>
      </c>
      <c r="F22" s="2" t="s">
        <v>63</v>
      </c>
      <c r="G22" s="2" t="s">
        <v>15</v>
      </c>
      <c r="H22" s="6" t="s">
        <v>155</v>
      </c>
      <c r="I22">
        <v>5.9</v>
      </c>
      <c r="J22" s="7" t="s">
        <v>161</v>
      </c>
      <c r="K22">
        <f>Tabla2[[#This Row],[Puntaje]]+1</f>
        <v>6.9</v>
      </c>
      <c r="L22" s="8"/>
    </row>
    <row r="23" spans="1:12" ht="116" x14ac:dyDescent="0.35">
      <c r="A23" s="2"/>
      <c r="B23" s="3">
        <v>0</v>
      </c>
      <c r="C23" s="2" t="s">
        <v>64</v>
      </c>
      <c r="D23" s="2" t="s">
        <v>65</v>
      </c>
      <c r="E23" s="2" t="s">
        <v>13</v>
      </c>
      <c r="F23" s="2" t="s">
        <v>66</v>
      </c>
      <c r="G23" s="2" t="s">
        <v>15</v>
      </c>
      <c r="H23" s="6" t="s">
        <v>155</v>
      </c>
      <c r="I23">
        <v>5.8</v>
      </c>
      <c r="J23" s="7" t="s">
        <v>173</v>
      </c>
      <c r="K23">
        <f>Tabla2[[#This Row],[Puntaje]]+1</f>
        <v>6.8</v>
      </c>
    </row>
    <row r="24" spans="1:12" ht="130.5" x14ac:dyDescent="0.35">
      <c r="A24" s="2"/>
      <c r="B24" s="3">
        <v>0</v>
      </c>
      <c r="C24" s="2" t="s">
        <v>67</v>
      </c>
      <c r="D24" s="2" t="s">
        <v>68</v>
      </c>
      <c r="E24" s="2" t="s">
        <v>13</v>
      </c>
      <c r="F24" s="2" t="s">
        <v>69</v>
      </c>
      <c r="G24" s="2" t="s">
        <v>15</v>
      </c>
      <c r="H24" s="6" t="s">
        <v>155</v>
      </c>
      <c r="I24">
        <v>5.5</v>
      </c>
      <c r="J24" s="7" t="s">
        <v>164</v>
      </c>
      <c r="K24">
        <f>Tabla2[[#This Row],[Puntaje]]+1</f>
        <v>6.5</v>
      </c>
    </row>
    <row r="25" spans="1:12" ht="130.5" x14ac:dyDescent="0.35">
      <c r="A25" s="2"/>
      <c r="B25" s="3">
        <v>0</v>
      </c>
      <c r="C25" s="2" t="s">
        <v>70</v>
      </c>
      <c r="D25" s="2" t="s">
        <v>71</v>
      </c>
      <c r="E25" s="2" t="s">
        <v>13</v>
      </c>
      <c r="F25" s="2" t="s">
        <v>72</v>
      </c>
      <c r="G25" s="2" t="s">
        <v>15</v>
      </c>
      <c r="H25" s="6" t="s">
        <v>155</v>
      </c>
      <c r="I25">
        <v>5.2</v>
      </c>
      <c r="J25" s="7" t="s">
        <v>170</v>
      </c>
      <c r="K25">
        <f>Tabla2[[#This Row],[Puntaje]]+1</f>
        <v>6.2</v>
      </c>
    </row>
    <row r="26" spans="1:12" ht="101.5" x14ac:dyDescent="0.35">
      <c r="A26" s="2"/>
      <c r="B26" s="3">
        <v>0</v>
      </c>
      <c r="C26" s="2" t="s">
        <v>73</v>
      </c>
      <c r="D26" s="2" t="s">
        <v>74</v>
      </c>
      <c r="E26" s="2" t="s">
        <v>13</v>
      </c>
      <c r="F26" s="2" t="s">
        <v>75</v>
      </c>
      <c r="G26" s="2" t="s">
        <v>15</v>
      </c>
      <c r="H26" s="6" t="s">
        <v>155</v>
      </c>
      <c r="I26">
        <v>5.8</v>
      </c>
      <c r="J26" s="7" t="s">
        <v>160</v>
      </c>
      <c r="K26">
        <f>Tabla2[[#This Row],[Puntaje]]+1</f>
        <v>6.8</v>
      </c>
    </row>
    <row r="27" spans="1:12" ht="246.5" x14ac:dyDescent="0.35">
      <c r="A27" s="2"/>
      <c r="B27" s="3">
        <v>0</v>
      </c>
      <c r="C27" s="2" t="s">
        <v>76</v>
      </c>
      <c r="D27" s="2" t="s">
        <v>77</v>
      </c>
      <c r="E27" s="2" t="s">
        <v>13</v>
      </c>
      <c r="F27" s="2" t="s">
        <v>78</v>
      </c>
      <c r="G27" s="2" t="s">
        <v>15</v>
      </c>
      <c r="H27" s="6" t="s">
        <v>155</v>
      </c>
      <c r="I27">
        <v>5.4</v>
      </c>
      <c r="J27" s="7" t="s">
        <v>169</v>
      </c>
      <c r="K27">
        <f>Tabla2[[#This Row],[Puntaje]]+1</f>
        <v>6.4</v>
      </c>
    </row>
    <row r="28" spans="1:12" ht="101.5" x14ac:dyDescent="0.35">
      <c r="A28" s="2"/>
      <c r="B28" s="3">
        <v>0</v>
      </c>
      <c r="C28" s="2" t="s">
        <v>79</v>
      </c>
      <c r="D28" s="2" t="s">
        <v>80</v>
      </c>
      <c r="E28" s="2" t="s">
        <v>13</v>
      </c>
      <c r="F28" s="2" t="s">
        <v>81</v>
      </c>
      <c r="G28" s="2" t="s">
        <v>15</v>
      </c>
      <c r="H28" s="6" t="s">
        <v>155</v>
      </c>
      <c r="I28">
        <v>5.5</v>
      </c>
      <c r="J28" s="7" t="s">
        <v>166</v>
      </c>
      <c r="K28">
        <f>Tabla2[[#This Row],[Puntaje]]+1</f>
        <v>6.5</v>
      </c>
    </row>
    <row r="29" spans="1:12" ht="87" x14ac:dyDescent="0.35">
      <c r="A29" s="2"/>
      <c r="B29" s="3">
        <v>0</v>
      </c>
      <c r="C29" s="2" t="s">
        <v>82</v>
      </c>
      <c r="D29" s="2" t="s">
        <v>83</v>
      </c>
      <c r="E29" s="2" t="s">
        <v>13</v>
      </c>
      <c r="F29" s="2" t="s">
        <v>84</v>
      </c>
      <c r="G29" s="2" t="s">
        <v>15</v>
      </c>
      <c r="H29" s="6" t="s">
        <v>155</v>
      </c>
      <c r="I29">
        <v>6</v>
      </c>
      <c r="J29" s="7" t="s">
        <v>157</v>
      </c>
      <c r="K29">
        <f>Tabla2[[#This Row],[Puntaje]]+1</f>
        <v>7</v>
      </c>
    </row>
    <row r="30" spans="1:12" ht="101.5" x14ac:dyDescent="0.35">
      <c r="A30" s="2"/>
      <c r="B30" s="3">
        <v>0</v>
      </c>
      <c r="C30" s="2" t="s">
        <v>85</v>
      </c>
      <c r="D30" s="2" t="s">
        <v>86</v>
      </c>
      <c r="E30" s="2" t="s">
        <v>13</v>
      </c>
      <c r="F30" s="2" t="s">
        <v>87</v>
      </c>
      <c r="G30" s="2" t="s">
        <v>15</v>
      </c>
      <c r="H30" s="6" t="s">
        <v>155</v>
      </c>
      <c r="I30">
        <v>5.5</v>
      </c>
      <c r="J30" s="7" t="s">
        <v>166</v>
      </c>
      <c r="K30">
        <f>Tabla2[[#This Row],[Puntaje]]+1</f>
        <v>6.5</v>
      </c>
    </row>
    <row r="31" spans="1:12" ht="145" x14ac:dyDescent="0.35">
      <c r="A31" s="2"/>
      <c r="B31" s="3">
        <v>0</v>
      </c>
      <c r="C31" s="2" t="s">
        <v>88</v>
      </c>
      <c r="D31" s="2" t="s">
        <v>89</v>
      </c>
      <c r="E31" s="2" t="s">
        <v>13</v>
      </c>
      <c r="F31" s="2" t="s">
        <v>90</v>
      </c>
      <c r="G31" s="2" t="s">
        <v>15</v>
      </c>
      <c r="H31" s="6" t="s">
        <v>155</v>
      </c>
      <c r="I31">
        <v>4</v>
      </c>
      <c r="J31" s="7" t="s">
        <v>167</v>
      </c>
      <c r="K31">
        <f>Tabla2[[#This Row],[Puntaje]]+1</f>
        <v>5</v>
      </c>
    </row>
    <row r="32" spans="1:12" ht="87" x14ac:dyDescent="0.35">
      <c r="A32" s="2"/>
      <c r="B32" s="3">
        <v>0</v>
      </c>
      <c r="C32" s="2" t="s">
        <v>91</v>
      </c>
      <c r="D32" s="2" t="s">
        <v>92</v>
      </c>
      <c r="E32" s="2" t="s">
        <v>13</v>
      </c>
      <c r="F32" s="2" t="s">
        <v>93</v>
      </c>
      <c r="G32" s="2" t="s">
        <v>15</v>
      </c>
      <c r="H32" s="6" t="s">
        <v>155</v>
      </c>
      <c r="I32">
        <v>6</v>
      </c>
      <c r="J32" s="7" t="s">
        <v>171</v>
      </c>
      <c r="K32">
        <f>Tabla2[[#This Row],[Puntaje]]+1</f>
        <v>7</v>
      </c>
    </row>
    <row r="33" spans="1:13" ht="145" x14ac:dyDescent="0.35">
      <c r="A33" s="2"/>
      <c r="B33" s="3">
        <v>0</v>
      </c>
      <c r="C33" s="2" t="s">
        <v>94</v>
      </c>
      <c r="D33" s="2" t="s">
        <v>95</v>
      </c>
      <c r="E33" s="2" t="s">
        <v>13</v>
      </c>
      <c r="F33" s="2" t="s">
        <v>96</v>
      </c>
      <c r="G33" s="2" t="s">
        <v>15</v>
      </c>
      <c r="H33" s="6" t="s">
        <v>155</v>
      </c>
      <c r="I33">
        <v>4</v>
      </c>
      <c r="J33" s="7" t="s">
        <v>167</v>
      </c>
      <c r="K33">
        <f>Tabla2[[#This Row],[Puntaje]]+1</f>
        <v>5</v>
      </c>
      <c r="M33" s="8"/>
    </row>
    <row r="34" spans="1:13" ht="145" x14ac:dyDescent="0.35">
      <c r="A34" s="2"/>
      <c r="B34" s="3">
        <v>0</v>
      </c>
      <c r="C34" s="2" t="s">
        <v>97</v>
      </c>
      <c r="D34" s="2" t="s">
        <v>98</v>
      </c>
      <c r="E34" s="2" t="s">
        <v>13</v>
      </c>
      <c r="F34" s="2" t="s">
        <v>99</v>
      </c>
      <c r="G34" s="2" t="s">
        <v>15</v>
      </c>
      <c r="H34" s="6" t="s">
        <v>155</v>
      </c>
      <c r="I34">
        <v>5.8</v>
      </c>
      <c r="J34" s="7" t="s">
        <v>163</v>
      </c>
      <c r="K34">
        <f>Tabla2[[#This Row],[Puntaje]]+1</f>
        <v>6.8</v>
      </c>
    </row>
    <row r="35" spans="1:13" ht="101.5" x14ac:dyDescent="0.35">
      <c r="A35" s="2"/>
      <c r="B35" s="3">
        <v>0</v>
      </c>
      <c r="C35" s="2" t="s">
        <v>100</v>
      </c>
      <c r="D35" s="2" t="s">
        <v>101</v>
      </c>
      <c r="E35" s="2" t="s">
        <v>13</v>
      </c>
      <c r="F35" s="2" t="s">
        <v>102</v>
      </c>
      <c r="G35" s="2" t="s">
        <v>15</v>
      </c>
      <c r="H35" s="6" t="s">
        <v>155</v>
      </c>
      <c r="I35">
        <v>5.4</v>
      </c>
      <c r="J35" s="7" t="s">
        <v>174</v>
      </c>
      <c r="K35">
        <f>Tabla2[[#This Row],[Puntaje]]+1</f>
        <v>6.4</v>
      </c>
    </row>
    <row r="36" spans="1:13" ht="130.5" x14ac:dyDescent="0.35">
      <c r="A36" s="2"/>
      <c r="B36" s="3">
        <v>0</v>
      </c>
      <c r="C36" s="2" t="s">
        <v>103</v>
      </c>
      <c r="D36" s="2" t="s">
        <v>104</v>
      </c>
      <c r="E36" s="2" t="s">
        <v>13</v>
      </c>
      <c r="F36" s="2" t="s">
        <v>105</v>
      </c>
      <c r="G36" s="2" t="s">
        <v>15</v>
      </c>
      <c r="H36" s="6" t="s">
        <v>155</v>
      </c>
      <c r="I36">
        <v>5.4</v>
      </c>
      <c r="J36" s="7" t="s">
        <v>168</v>
      </c>
      <c r="K36">
        <f>Tabla2[[#This Row],[Puntaje]]+1</f>
        <v>6.4</v>
      </c>
    </row>
    <row r="37" spans="1:13" ht="130.5" x14ac:dyDescent="0.35">
      <c r="A37" s="2"/>
      <c r="B37" s="3">
        <v>0</v>
      </c>
      <c r="C37" s="2" t="s">
        <v>106</v>
      </c>
      <c r="D37" s="2" t="s">
        <v>107</v>
      </c>
      <c r="E37" s="2" t="s">
        <v>13</v>
      </c>
      <c r="F37" s="2" t="s">
        <v>108</v>
      </c>
      <c r="G37" s="2" t="s">
        <v>15</v>
      </c>
      <c r="H37" s="6" t="s">
        <v>155</v>
      </c>
      <c r="I37">
        <v>5.3</v>
      </c>
      <c r="J37" s="7" t="s">
        <v>158</v>
      </c>
      <c r="K37">
        <f>Tabla2[[#This Row],[Puntaje]]+1</f>
        <v>6.3</v>
      </c>
    </row>
    <row r="38" spans="1:13" ht="87" x14ac:dyDescent="0.35">
      <c r="A38" s="2"/>
      <c r="B38" s="3">
        <v>0</v>
      </c>
      <c r="C38" s="2" t="s">
        <v>109</v>
      </c>
      <c r="D38" s="2" t="s">
        <v>110</v>
      </c>
      <c r="E38" s="2" t="s">
        <v>13</v>
      </c>
      <c r="F38" s="2" t="s">
        <v>111</v>
      </c>
      <c r="G38" s="2" t="s">
        <v>15</v>
      </c>
      <c r="H38" s="6" t="s">
        <v>155</v>
      </c>
      <c r="I38">
        <v>5.6</v>
      </c>
      <c r="J38" s="7" t="s">
        <v>176</v>
      </c>
      <c r="K38">
        <f>Tabla2[[#This Row],[Puntaje]]+1</f>
        <v>6.6</v>
      </c>
    </row>
    <row r="39" spans="1:13" ht="130.5" x14ac:dyDescent="0.35">
      <c r="A39" s="2"/>
      <c r="B39" s="3">
        <v>0</v>
      </c>
      <c r="C39" s="2" t="s">
        <v>112</v>
      </c>
      <c r="D39" s="2" t="s">
        <v>113</v>
      </c>
      <c r="E39" s="2" t="s">
        <v>13</v>
      </c>
      <c r="F39" s="2" t="s">
        <v>114</v>
      </c>
      <c r="G39" s="2" t="s">
        <v>15</v>
      </c>
      <c r="H39" s="6" t="s">
        <v>155</v>
      </c>
      <c r="I39">
        <v>5.3</v>
      </c>
      <c r="J39" s="7" t="s">
        <v>158</v>
      </c>
      <c r="K39">
        <f>Tabla2[[#This Row],[Puntaje]]+1</f>
        <v>6.3</v>
      </c>
    </row>
    <row r="40" spans="1:13" ht="145" x14ac:dyDescent="0.35">
      <c r="A40" s="2"/>
      <c r="B40" s="3">
        <v>0</v>
      </c>
      <c r="C40" s="2" t="s">
        <v>115</v>
      </c>
      <c r="D40" s="2" t="s">
        <v>116</v>
      </c>
      <c r="E40" s="2" t="s">
        <v>13</v>
      </c>
      <c r="F40" s="2" t="s">
        <v>117</v>
      </c>
      <c r="G40" s="2" t="s">
        <v>15</v>
      </c>
      <c r="H40" s="6" t="s">
        <v>155</v>
      </c>
      <c r="I40">
        <v>4</v>
      </c>
      <c r="J40" s="7" t="s">
        <v>167</v>
      </c>
      <c r="K40">
        <f>Tabla2[[#This Row],[Puntaje]]+1</f>
        <v>5</v>
      </c>
    </row>
    <row r="41" spans="1:13" ht="101.5" x14ac:dyDescent="0.35">
      <c r="A41" s="2"/>
      <c r="B41" s="3">
        <v>0</v>
      </c>
      <c r="C41" s="2" t="s">
        <v>118</v>
      </c>
      <c r="D41" s="2" t="s">
        <v>119</v>
      </c>
      <c r="E41" s="2" t="s">
        <v>13</v>
      </c>
      <c r="F41" s="2" t="s">
        <v>120</v>
      </c>
      <c r="G41" s="2" t="s">
        <v>15</v>
      </c>
      <c r="H41" s="6" t="s">
        <v>155</v>
      </c>
      <c r="I41">
        <v>6</v>
      </c>
      <c r="J41" s="7" t="s">
        <v>162</v>
      </c>
      <c r="K41">
        <f>Tabla2[[#This Row],[Puntaje]]+1</f>
        <v>7</v>
      </c>
    </row>
    <row r="42" spans="1:13" ht="130.5" x14ac:dyDescent="0.35">
      <c r="A42" s="2"/>
      <c r="B42" s="3">
        <v>0</v>
      </c>
      <c r="C42" s="2" t="s">
        <v>121</v>
      </c>
      <c r="D42" s="2" t="s">
        <v>122</v>
      </c>
      <c r="E42" s="2" t="s">
        <v>13</v>
      </c>
      <c r="F42" s="2" t="s">
        <v>123</v>
      </c>
      <c r="G42" s="2" t="s">
        <v>15</v>
      </c>
      <c r="H42" s="6" t="s">
        <v>155</v>
      </c>
      <c r="I42">
        <v>5.4</v>
      </c>
      <c r="J42" s="7" t="s">
        <v>168</v>
      </c>
      <c r="K42">
        <f>Tabla2[[#This Row],[Puntaje]]+1</f>
        <v>6.4</v>
      </c>
    </row>
    <row r="43" spans="1:13" ht="87" x14ac:dyDescent="0.35">
      <c r="A43" s="2"/>
      <c r="B43" s="3">
        <v>0</v>
      </c>
      <c r="C43" s="2" t="s">
        <v>124</v>
      </c>
      <c r="D43" s="2" t="s">
        <v>125</v>
      </c>
      <c r="E43" s="2" t="s">
        <v>13</v>
      </c>
      <c r="F43" s="2" t="s">
        <v>126</v>
      </c>
      <c r="G43" s="2" t="s">
        <v>15</v>
      </c>
      <c r="H43" s="6" t="s">
        <v>155</v>
      </c>
      <c r="I43">
        <v>5.8</v>
      </c>
      <c r="J43" s="7" t="s">
        <v>172</v>
      </c>
      <c r="K43">
        <f>Tabla2[[#This Row],[Puntaje]]+1</f>
        <v>6.8</v>
      </c>
    </row>
    <row r="44" spans="1:13" ht="101.5" x14ac:dyDescent="0.35">
      <c r="A44" s="2"/>
      <c r="B44" s="3">
        <v>0</v>
      </c>
      <c r="C44" s="2" t="s">
        <v>127</v>
      </c>
      <c r="D44" s="2" t="s">
        <v>128</v>
      </c>
      <c r="E44" s="2" t="s">
        <v>13</v>
      </c>
      <c r="F44" s="2" t="s">
        <v>129</v>
      </c>
      <c r="G44" s="2" t="s">
        <v>15</v>
      </c>
      <c r="H44" s="6" t="s">
        <v>155</v>
      </c>
      <c r="I44">
        <v>5.8</v>
      </c>
      <c r="J44" s="7" t="s">
        <v>160</v>
      </c>
      <c r="K44">
        <f>Tabla2[[#This Row],[Puntaje]]+1</f>
        <v>6.8</v>
      </c>
    </row>
    <row r="45" spans="1:13" ht="87" x14ac:dyDescent="0.35">
      <c r="A45" s="2"/>
      <c r="B45" s="3">
        <v>0</v>
      </c>
      <c r="C45" s="2" t="s">
        <v>130</v>
      </c>
      <c r="D45" s="2" t="s">
        <v>131</v>
      </c>
      <c r="E45" s="2" t="s">
        <v>13</v>
      </c>
      <c r="F45" s="2" t="s">
        <v>132</v>
      </c>
      <c r="G45" s="2" t="s">
        <v>15</v>
      </c>
      <c r="H45" s="6" t="s">
        <v>155</v>
      </c>
      <c r="I45">
        <v>5.8</v>
      </c>
      <c r="J45" s="7" t="s">
        <v>172</v>
      </c>
      <c r="K45">
        <f>Tabla2[[#This Row],[Puntaje]]+1</f>
        <v>6.8</v>
      </c>
    </row>
    <row r="46" spans="1:13" ht="87" x14ac:dyDescent="0.35">
      <c r="A46" s="2"/>
      <c r="B46" s="3">
        <v>0</v>
      </c>
      <c r="C46" s="2" t="s">
        <v>133</v>
      </c>
      <c r="D46" s="2" t="s">
        <v>134</v>
      </c>
      <c r="E46" s="2" t="s">
        <v>13</v>
      </c>
      <c r="F46" s="2" t="s">
        <v>135</v>
      </c>
      <c r="G46" s="2" t="s">
        <v>15</v>
      </c>
      <c r="H46" s="6" t="s">
        <v>155</v>
      </c>
      <c r="I46">
        <v>5.8</v>
      </c>
      <c r="J46" s="7" t="s">
        <v>172</v>
      </c>
      <c r="K46">
        <f>Tabla2[[#This Row],[Puntaje]]+1</f>
        <v>6.8</v>
      </c>
    </row>
    <row r="47" spans="1:13" ht="87" x14ac:dyDescent="0.35">
      <c r="A47" s="2"/>
      <c r="B47" s="3">
        <v>0</v>
      </c>
      <c r="C47" s="2" t="s">
        <v>136</v>
      </c>
      <c r="D47" s="2" t="s">
        <v>137</v>
      </c>
      <c r="E47" s="2" t="s">
        <v>13</v>
      </c>
      <c r="F47" s="2" t="s">
        <v>138</v>
      </c>
      <c r="G47" s="2" t="s">
        <v>15</v>
      </c>
      <c r="H47" s="6" t="s">
        <v>155</v>
      </c>
      <c r="I47">
        <v>6</v>
      </c>
      <c r="J47" s="7" t="s">
        <v>171</v>
      </c>
      <c r="K47">
        <f>Tabla2[[#This Row],[Puntaje]]+1</f>
        <v>7</v>
      </c>
    </row>
    <row r="48" spans="1:13" ht="145" x14ac:dyDescent="0.35">
      <c r="A48" s="2"/>
      <c r="B48" s="3">
        <v>0</v>
      </c>
      <c r="C48" s="2" t="s">
        <v>139</v>
      </c>
      <c r="D48" s="2" t="s">
        <v>140</v>
      </c>
      <c r="E48" s="2" t="s">
        <v>13</v>
      </c>
      <c r="F48" s="2" t="s">
        <v>141</v>
      </c>
      <c r="G48" s="2" t="s">
        <v>15</v>
      </c>
      <c r="H48" s="9" t="s">
        <v>155</v>
      </c>
      <c r="I48">
        <v>5.8</v>
      </c>
      <c r="J48" s="7" t="s">
        <v>163</v>
      </c>
      <c r="K48">
        <f>Tabla2[[#This Row],[Puntaje]]+1</f>
        <v>6.8</v>
      </c>
    </row>
    <row r="49" spans="1:11" ht="101.5" x14ac:dyDescent="0.35">
      <c r="A49" s="2"/>
      <c r="B49" s="3">
        <v>0</v>
      </c>
      <c r="C49" s="2" t="s">
        <v>142</v>
      </c>
      <c r="D49" s="2" t="s">
        <v>143</v>
      </c>
      <c r="E49" s="2" t="s">
        <v>13</v>
      </c>
      <c r="F49" s="2" t="s">
        <v>144</v>
      </c>
      <c r="G49" s="2" t="s">
        <v>15</v>
      </c>
      <c r="H49" s="6" t="s">
        <v>155</v>
      </c>
      <c r="I49">
        <v>6</v>
      </c>
      <c r="J49" s="7" t="s">
        <v>162</v>
      </c>
      <c r="K49">
        <f>Tabla2[[#This Row],[Puntaje]]+1</f>
        <v>7</v>
      </c>
    </row>
    <row r="50" spans="1:11" ht="130.5" x14ac:dyDescent="0.35">
      <c r="A50" s="2"/>
      <c r="B50" s="3">
        <v>0</v>
      </c>
      <c r="C50" s="2" t="s">
        <v>145</v>
      </c>
      <c r="D50" s="2" t="s">
        <v>146</v>
      </c>
      <c r="E50" s="2" t="s">
        <v>13</v>
      </c>
      <c r="F50" s="2" t="s">
        <v>147</v>
      </c>
      <c r="G50" s="2" t="s">
        <v>15</v>
      </c>
      <c r="H50" s="6" t="s">
        <v>155</v>
      </c>
      <c r="I50">
        <v>5.4</v>
      </c>
      <c r="J50" s="7" t="s">
        <v>168</v>
      </c>
      <c r="K50">
        <f>Tabla2[[#This Row],[Puntaje]]+1</f>
        <v>6.4</v>
      </c>
    </row>
    <row r="51" spans="1:11" ht="87" x14ac:dyDescent="0.35">
      <c r="A51" s="2"/>
      <c r="B51" s="3">
        <v>0</v>
      </c>
      <c r="C51" s="2" t="s">
        <v>148</v>
      </c>
      <c r="D51" s="2" t="s">
        <v>149</v>
      </c>
      <c r="E51" s="2" t="s">
        <v>13</v>
      </c>
      <c r="F51" s="2" t="s">
        <v>150</v>
      </c>
      <c r="G51" s="2" t="s">
        <v>15</v>
      </c>
      <c r="H51" s="6" t="s">
        <v>155</v>
      </c>
      <c r="I51">
        <v>6</v>
      </c>
      <c r="J51" s="7" t="s">
        <v>165</v>
      </c>
      <c r="K51">
        <f>Tabla2[[#This Row],[Puntaje]]+1</f>
        <v>7</v>
      </c>
    </row>
    <row r="52" spans="1:11" x14ac:dyDescent="0.35">
      <c r="A52" s="13" t="s">
        <v>151</v>
      </c>
      <c r="B52" s="13"/>
      <c r="C52" s="13"/>
      <c r="D52" s="13"/>
      <c r="E52" s="13"/>
      <c r="F52" s="13"/>
      <c r="G52" s="13"/>
      <c r="H52" s="4" t="s">
        <v>152</v>
      </c>
    </row>
  </sheetData>
  <mergeCells count="5">
    <mergeCell ref="A1:H1"/>
    <mergeCell ref="A2:H2"/>
    <mergeCell ref="A3:H3"/>
    <mergeCell ref="A4:H4"/>
    <mergeCell ref="A52:G52"/>
  </mergeCells>
  <conditionalFormatting sqref="H6:H51">
    <cfRule type="cellIs" dxfId="1" priority="1" operator="equal">
      <formula>"No revisado"</formula>
    </cfRule>
    <cfRule type="cellIs" dxfId="0" priority="2" operator="equal">
      <formula>"Revisado"</formula>
    </cfRule>
  </conditionalFormatting>
  <dataValidations count="1">
    <dataValidation type="list" allowBlank="1" showInputMessage="1" showErrorMessage="1" sqref="H6:H51" xr:uid="{3EE5733E-F0AD-45A1-8CA4-65AF799BAA3B}">
      <formula1>"No revisado,Revisado"</formula1>
    </dataValidation>
  </dataValidations>
  <pageMargins left="1" right="1" top="0.129999995231628" bottom="0.129999995231628" header="0.3" footer="0.3"/>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Notas T1-2025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Informatica</dc:creator>
  <cp:lastModifiedBy>Juan Pablo Salazar Fernández</cp:lastModifiedBy>
  <dcterms:created xsi:type="dcterms:W3CDTF">2025-09-28T14:27:59Z</dcterms:created>
  <dcterms:modified xsi:type="dcterms:W3CDTF">2025-10-19T23:47:10Z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21.2.7.0</vt:lpwstr>
  </property>
</Properties>
</file>