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Informatica\Dropbox\Cursos UACh\2025\2025.2 - INFO208\"/>
    </mc:Choice>
  </mc:AlternateContent>
  <xr:revisionPtr revIDLastSave="0" documentId="13_ncr:1_{13ECB9D8-9761-4170-A0F8-3A40264903DC}" xr6:coauthVersionLast="47" xr6:coauthVersionMax="47" xr10:uidLastSave="{00000000-0000-0000-0000-000000000000}"/>
  <bookViews>
    <workbookView xWindow="-110" yWindow="-110" windowWidth="25820" windowHeight="1550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6" i="1" l="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alcChain>
</file>

<file path=xl/sharedStrings.xml><?xml version="1.0" encoding="utf-8"?>
<sst xmlns="http://schemas.openxmlformats.org/spreadsheetml/2006/main" count="424" uniqueCount="222">
  <si>
    <t>Nómina de Estudiantes</t>
  </si>
  <si>
    <t>INGENIERÍA DE REQUISITOS</t>
  </si>
  <si>
    <t>INFO208-17</t>
  </si>
  <si>
    <t>Año: 2025, Periodo:2</t>
  </si>
  <si>
    <t>Mov.</t>
  </si>
  <si>
    <t>Gr.Par.</t>
  </si>
  <si>
    <t>Rut</t>
  </si>
  <si>
    <t>Nombre Estudiante</t>
  </si>
  <si>
    <t>Estado</t>
  </si>
  <si>
    <t>Email</t>
  </si>
  <si>
    <t>Carrera</t>
  </si>
  <si>
    <t>0020243345-6</t>
  </si>
  <si>
    <t xml:space="preserve">AGUERO FICA,JONATAN ALEXIS                                                                          </t>
  </si>
  <si>
    <t xml:space="preserve">INSCRITO                                </t>
  </si>
  <si>
    <t xml:space="preserve">jonatan.aguero@alumnos.uach.cl;                   </t>
  </si>
  <si>
    <t>INGENIERÍA CIVIL EN INFORMÁTICA</t>
  </si>
  <si>
    <t>0021437208-8</t>
  </si>
  <si>
    <t xml:space="preserve">BRANA PEÑA,FELIPE ANDRES                                                                            </t>
  </si>
  <si>
    <t xml:space="preserve">felipe.brana@alumnos.uach.cl;                     </t>
  </si>
  <si>
    <t>0027090765-2</t>
  </si>
  <si>
    <t xml:space="preserve">CARLIN SARAVIA,GIORGIO ENRIQUE                                                                      </t>
  </si>
  <si>
    <t xml:space="preserve">giorgio.carlin@alumnos.uach.cl;                   </t>
  </si>
  <si>
    <t>0021888332-K</t>
  </si>
  <si>
    <t xml:space="preserve">CARRILLO SOTO,MAYRA ANTONELLA                                                                       </t>
  </si>
  <si>
    <t xml:space="preserve">mayra.carrillo@alumnos.uach.cl;                   </t>
  </si>
  <si>
    <t>0021693144-0</t>
  </si>
  <si>
    <t xml:space="preserve">CONTRERAS RAMOS,FRANCISCO MANUEL                                                                    </t>
  </si>
  <si>
    <t xml:space="preserve">francisco.contreras@alumnos.uach.cl;              </t>
  </si>
  <si>
    <t>0021154218-7</t>
  </si>
  <si>
    <t xml:space="preserve">CÓRDOVA CONCHA,NICOLÁS IGNACIO                                                                      </t>
  </si>
  <si>
    <t xml:space="preserve">nicolas.cordova@alumnos.uach.cl;                  </t>
  </si>
  <si>
    <t>0021405042-0</t>
  </si>
  <si>
    <t xml:space="preserve">CUEVAS CÁRDENAS,IAN ALEXANDER                                                                       </t>
  </si>
  <si>
    <t xml:space="preserve">ian.cuevas03@alumnos.uach.cl;                     </t>
  </si>
  <si>
    <t>0021133547-5</t>
  </si>
  <si>
    <t xml:space="preserve">CUEVAS CASTRO,SEBASTIÁN ALEJANDRO                                                                   </t>
  </si>
  <si>
    <t xml:space="preserve">sebastian.cuevas02@alumnos.uach.cl;               </t>
  </si>
  <si>
    <t>0020264883-5</t>
  </si>
  <si>
    <t xml:space="preserve">DELGADO SALDAÑA,MARCO ANTONIO                                                                       </t>
  </si>
  <si>
    <t xml:space="preserve">marco.delgado@alumnos.uach.cl;                    </t>
  </si>
  <si>
    <t>0020536454-4</t>
  </si>
  <si>
    <t xml:space="preserve">DUQUE GUZMÁN,ANTONIO ALEJANDRO                                                                      </t>
  </si>
  <si>
    <t xml:space="preserve">antonio.duque@alumnos.uach.cl;                    </t>
  </si>
  <si>
    <t>0020952420-1</t>
  </si>
  <si>
    <t xml:space="preserve">ESPINOZA FUENZALIDA,SAMANTHA LISSETTE                                                               </t>
  </si>
  <si>
    <t xml:space="preserve">samantha.espinoza@alumnos.uach.cl;                </t>
  </si>
  <si>
    <t>0021124921-8</t>
  </si>
  <si>
    <t xml:space="preserve">ESPINOZA NÚÑEZ,CRISTÓBAL FABIÁN                                                                     </t>
  </si>
  <si>
    <t xml:space="preserve">cristobal.espinoza02@alumnos.uach.cl;             </t>
  </si>
  <si>
    <t>0021240109-9</t>
  </si>
  <si>
    <t xml:space="preserve">ESTRADA IGOR,AGUSTÍN MAURICIO ALEXANDER                                                             </t>
  </si>
  <si>
    <t xml:space="preserve">agustin.estrada@alumnos.uach.cl;                  </t>
  </si>
  <si>
    <t>0021509887-7</t>
  </si>
  <si>
    <t xml:space="preserve">GAJARDO RAMÍREZ,BASTIÁN JESÚS                                                                       </t>
  </si>
  <si>
    <t xml:space="preserve">bastian.gajardo01@alumnos.uach.cl;                </t>
  </si>
  <si>
    <t>0027424010-5</t>
  </si>
  <si>
    <t xml:space="preserve">GALAZ ESANDI,LUCA                                                                                   </t>
  </si>
  <si>
    <t xml:space="preserve">luca.galaz@alumnos.uach.cl;                       </t>
  </si>
  <si>
    <t>0021376309-1</t>
  </si>
  <si>
    <t xml:space="preserve">GONZÁLEZ MARÍN,RODRIGO BENJAMÍN                                                                     </t>
  </si>
  <si>
    <t xml:space="preserve">rodrigo.gonzalez08@alumnos.uach.cl;               </t>
  </si>
  <si>
    <t>0020859124-K</t>
  </si>
  <si>
    <t xml:space="preserve">GONZÁLEZ MORALES,BENJAMÍN ANDRÉS                                                                    </t>
  </si>
  <si>
    <t xml:space="preserve">benjamin.gonzalez02@alumnos.uach.cl;              </t>
  </si>
  <si>
    <t>0021706676-K</t>
  </si>
  <si>
    <t xml:space="preserve">HABERT GARCÉS,LUCIANA IGNACIA                                                                       </t>
  </si>
  <si>
    <t xml:space="preserve">luciana.habert@alumnos.uach.cl;                   </t>
  </si>
  <si>
    <t>0021291493-2</t>
  </si>
  <si>
    <t xml:space="preserve">HERNÁNDEZ MIRANDA,FRANCISCO LEONEL                                                                  </t>
  </si>
  <si>
    <t xml:space="preserve">francisco.hernandez03@alumnos.uach.cl;            </t>
  </si>
  <si>
    <t>0021547452-6</t>
  </si>
  <si>
    <t xml:space="preserve">JAQUE LOBOS,MARTÍN ANGEL IGNACIO                                                                    </t>
  </si>
  <si>
    <t xml:space="preserve">martin.jaque@alumnos.uach.cl;                     </t>
  </si>
  <si>
    <t>0020346385-5</t>
  </si>
  <si>
    <t xml:space="preserve">JOFRÉ MONTANO,SANTIAGO ANTONIO                                                                      </t>
  </si>
  <si>
    <t xml:space="preserve">santiago.jofre@alumnos.uach.cl;                   </t>
  </si>
  <si>
    <t>0021805253-3</t>
  </si>
  <si>
    <t xml:space="preserve">LARA BRIONES,MARCELO ALEJANDRO                                                                      </t>
  </si>
  <si>
    <t xml:space="preserve">marcelo.lara@alumnos.uach.cl;                     </t>
  </si>
  <si>
    <t>0021878167-5</t>
  </si>
  <si>
    <t xml:space="preserve">LEAL CARRILLO,ANGEL GABRIEL                                                                         </t>
  </si>
  <si>
    <t xml:space="preserve">angel.leal@alumnos.uach.cl;                       </t>
  </si>
  <si>
    <t>0020918442-7</t>
  </si>
  <si>
    <t xml:space="preserve">MARTÍNEZ CERECEDA,BENJAMÍN IGNACIO                                                                  </t>
  </si>
  <si>
    <t xml:space="preserve">benjamin.martinez@alumnos.uach.cl;                </t>
  </si>
  <si>
    <t>0021535241-2</t>
  </si>
  <si>
    <t xml:space="preserve">MARTÍNEZ HERNÁNDEZ,JAVIER ALEJANDRO                                                                 </t>
  </si>
  <si>
    <t xml:space="preserve">javier.martinez02@alumnos.uach.cl;                </t>
  </si>
  <si>
    <t>0021320375-4</t>
  </si>
  <si>
    <t xml:space="preserve">MOLINA CEVERIO,NICOLÁS HERNÁN                                                                       </t>
  </si>
  <si>
    <t xml:space="preserve">nicolas.molina04@alumnos.uach.cl;                 </t>
  </si>
  <si>
    <t>0021813153-0</t>
  </si>
  <si>
    <t xml:space="preserve">MONTECINOS GATICA,EDUARDO JARED                                                                     </t>
  </si>
  <si>
    <t xml:space="preserve">eduardo.montecinos@alumnos.uach.cl;               </t>
  </si>
  <si>
    <t>0021322638-K</t>
  </si>
  <si>
    <t xml:space="preserve">MORENO DELGADO,LEONARDO DEMUEL                                                                      </t>
  </si>
  <si>
    <t xml:space="preserve">leonardo.moreno01@alumnos.uach.cl;                </t>
  </si>
  <si>
    <t>0021330910-2</t>
  </si>
  <si>
    <t xml:space="preserve">OJEDA MERCADO,ELÍAS IGNACIO                                                                         </t>
  </si>
  <si>
    <t xml:space="preserve">elias.ojeda01@alumnos.uach.cl;                    </t>
  </si>
  <si>
    <t>0020773562-0</t>
  </si>
  <si>
    <t xml:space="preserve">ORTIZ PINEDA,ANGELO SEBASTIÁN                                                                       </t>
  </si>
  <si>
    <t xml:space="preserve">angelo.ortiz@alumnos.uach.cl;                     </t>
  </si>
  <si>
    <t>0021092193-1</t>
  </si>
  <si>
    <t xml:space="preserve">ORTIZ RIQUELME,CRISTIAN FERNANDO                                                                    </t>
  </si>
  <si>
    <t xml:space="preserve">cristian.ortiz01@alumnos.uach.cl;                 </t>
  </si>
  <si>
    <t>0021391384-0</t>
  </si>
  <si>
    <t xml:space="preserve">QUINTREL POBLETE,AMARU ANDRÉS                                                                       </t>
  </si>
  <si>
    <t xml:space="preserve">amaru.quintrel@alumnos.uach.cl;                   </t>
  </si>
  <si>
    <t>0021354209-5</t>
  </si>
  <si>
    <t xml:space="preserve">REYES JARAMILLO,FELIPE AGUSTÍN ALEJANDRO                                                            </t>
  </si>
  <si>
    <t xml:space="preserve">felipe.reyes05@alumnos.uach.cl;                   </t>
  </si>
  <si>
    <t>0021309137-9</t>
  </si>
  <si>
    <t xml:space="preserve">ROJAS BARAHONA,BENJAMÍN BEN                                                                         </t>
  </si>
  <si>
    <t xml:space="preserve">benjamin.rojas02@alumnos.uach.cl;                 </t>
  </si>
  <si>
    <t>0021390414-0</t>
  </si>
  <si>
    <t xml:space="preserve">ROJAS SOTO,MARCELO SEBASTIÁN                                                                        </t>
  </si>
  <si>
    <t xml:space="preserve">marcelo.rojas01@alumnos.uach.cl;                  </t>
  </si>
  <si>
    <t>0021827375-0</t>
  </si>
  <si>
    <t xml:space="preserve">RUPAILAF QUEZADA,ALEN ORLANDO                                                                       </t>
  </si>
  <si>
    <t xml:space="preserve">alen.rupailaf@alumnos.uach.cl;                    </t>
  </si>
  <si>
    <t>0021068082-9</t>
  </si>
  <si>
    <t xml:space="preserve">SEGUEL BRAVO,ANDRÉS ESTEBAN                                                                         </t>
  </si>
  <si>
    <t xml:space="preserve">andres.seguel@alumnos.uach.cl;                    </t>
  </si>
  <si>
    <t>0020990855-7</t>
  </si>
  <si>
    <t xml:space="preserve">SILVA MENA,JOSÉ CRISTÓBAL                                                                           </t>
  </si>
  <si>
    <t xml:space="preserve">jose.silva@alumnos.uach.cl;                       </t>
  </si>
  <si>
    <t>0021049780-3</t>
  </si>
  <si>
    <t xml:space="preserve">SKILLMANN LÓPEZ,CRISTÓBAL ALONSO                                                                    </t>
  </si>
  <si>
    <t xml:space="preserve">cristobal.skillmann@alumnos.uach.cl;              </t>
  </si>
  <si>
    <t>0021652338-5</t>
  </si>
  <si>
    <t xml:space="preserve">SOTO LOMBOY,MATÍAS                                                                                  </t>
  </si>
  <si>
    <t xml:space="preserve">matias.soto@alumnos.uach.cl;                      </t>
  </si>
  <si>
    <t>0021710741-5</t>
  </si>
  <si>
    <t xml:space="preserve">SOTO VERGARA,DIEGO RONALDO HERMES                                                                   </t>
  </si>
  <si>
    <t xml:space="preserve">diego.soto06@alumnos.uach.cl;                     </t>
  </si>
  <si>
    <t>0018775204-3</t>
  </si>
  <si>
    <t xml:space="preserve">TOLEDO VARELA,MATÍAS IGNACIO                                                                        </t>
  </si>
  <si>
    <t xml:space="preserve">matias.toledo01@alumnos.uach.cl;                  </t>
  </si>
  <si>
    <t>0021575920-2</t>
  </si>
  <si>
    <t xml:space="preserve">URIBE ANDRADE,BENJAMÍN ALONSO                                                                       </t>
  </si>
  <si>
    <t xml:space="preserve">benjamin.uribe01@alumnos.uach.cl;                 </t>
  </si>
  <si>
    <t>0021707611-0</t>
  </si>
  <si>
    <t xml:space="preserve">VEAS HUEQUEMÁN,CRISTÓBAL FELIPE                                                                     </t>
  </si>
  <si>
    <t xml:space="preserve">cristobal.veas@alumnos.uach.cl;                   </t>
  </si>
  <si>
    <t>0021078598-1</t>
  </si>
  <si>
    <t xml:space="preserve">VERA QUIJÓN,LORENZO VICENTE                                                                         </t>
  </si>
  <si>
    <t xml:space="preserve">lorenzo.vera@alumnos.uach.cl;                     </t>
  </si>
  <si>
    <t>0020523218-4</t>
  </si>
  <si>
    <t xml:space="preserve">VERGARA NOVOA,GONZALO FERNANDO                                                                      </t>
  </si>
  <si>
    <t xml:space="preserve">gonzalo.vergara@alumnos.uach.cl;                  </t>
  </si>
  <si>
    <t>Generado por: Juan Salazar F., el domingo, 28 de septiembre de 2025 11:27</t>
  </si>
  <si>
    <t>Página 1 de 1</t>
  </si>
  <si>
    <t>Estado revisión</t>
  </si>
  <si>
    <t>No revisado</t>
  </si>
  <si>
    <t>Revisado</t>
  </si>
  <si>
    <t>Comentarios</t>
  </si>
  <si>
    <t>Nota</t>
  </si>
  <si>
    <t>5,3</t>
  </si>
  <si>
    <t>Revisión:
1-	 Correcto uso de la plantilla, descripción de manera clara y coherente. 1 pto
2-	 Buen detalle del usuario objetivo, buena definición de sus necesidades. 0,5 pts
3-	 Funcionalidad coherente. 0,5 pts
4-	 Requisitos funcionales correctos. 1 pto
5-	 El RNF1 corresponde a 2 requisitos, es ideal de igual manera colocar alguna métrica, ejemplo “El tiempo de carga de la interfaz no debe superar los 2 segundos el 95% de las interacciones”. 0,3 pts
6-	 Correcto. 1 pts
7-	 En el RF6 hablaron de la pantalla de preparación de cocina, hubiera sigdo interesante mostrar ese mockup, para abarcar en totalidad sus requisitos y de igual manera se hubiera representado la regla de negocio 1 y 4. 0,5 pts
8-	Coherente el documento con lo que definieron, acotado y preciso. 0,5 pts.
Total: 5.3 pts</t>
  </si>
  <si>
    <t>Rúbrica Tarea N°2 – INFO208 (Total: 6 puntos)</t>
  </si>
  <si>
    <t>Pregunta / Entregable</t>
  </si>
  <si>
    <t>Puntaje máximo</t>
  </si>
  <si>
    <t>Criterios</t>
  </si>
  <si>
    <t>Descripción ampliada</t>
  </si>
  <si>
    <t>Declaración de visión</t>
  </si>
  <si>
    <t>1.0</t>
  </si>
  <si>
    <t>Coherencia – Completitud – Claridad</t>
  </si>
  <si>
    <t>La visión es coherente con la normativa; incluye los elementos esenciales de la plantilla; presenta una descripción clara del problema, stakeholders y solución propuesta.</t>
  </si>
  <si>
    <t>Clase de usuario</t>
  </si>
  <si>
    <t>0.5</t>
  </si>
  <si>
    <t>Pertinencia – Nivel de detalle – Coherencia</t>
  </si>
  <si>
    <t>La clase de usuario está bien definida (edad, educación, frecuencia de uso, rol); se relaciona con la visión y justifica los requisitos posteriores.</t>
  </si>
  <si>
    <t>Funcionalidad seleccionada</t>
  </si>
  <si>
    <t>Claridad – Relevancia – Coherencia</t>
  </si>
  <si>
    <t>Se define una única funcionalidad concreta y relevante para el producto y la normativa; sirve de base para los requisitos.</t>
  </si>
  <si>
    <t>Requisitos funcionales (3 a 7)</t>
  </si>
  <si>
    <t>Correctitud – Coherencia – Redacción formal</t>
  </si>
  <si>
    <t>Los requisitos son verdaderamente funcionales, claros, trazables a la funcionalidad y redactados con estructura formal.</t>
  </si>
  <si>
    <t>Requisitos no funcionales (1 a 2)</t>
  </si>
  <si>
    <t>Clasificación correcta – Relevancia – Medibilidad</t>
  </si>
  <si>
    <t>Los RNF son adecuados para la funcionalidad, no se confunden con RF, y son verificables o medibles.</t>
  </si>
  <si>
    <t>Reglas de negocio (3 a 5)</t>
  </si>
  <si>
    <t>Asociación normativa – Precisión – Coherencia</t>
  </si>
  <si>
    <t>Cada regla se vincula explícitamente con un artículo de la ley; las reglas impactan la funcionalidad y derivan de la normativa seleccionada.</t>
  </si>
  <si>
    <t>Mockups (1–3) y/o estructuras de datos (1–3)</t>
  </si>
  <si>
    <t>Vinculación – Pertinencia – Claridad visual</t>
  </si>
  <si>
    <t>Cada mockup o tabla se relaciona con los requisitos y reglas; representan adecuadamente la funcionalidad; diseño legible y coherente.</t>
  </si>
  <si>
    <t>Coherencia global y brevedad</t>
  </si>
  <si>
    <t>Consistencia – Precisión – Realismo</t>
  </si>
  <si>
    <t>El documento es breve, consistente en todas sus partes, realista y sin contradicciones internas.</t>
  </si>
  <si>
    <t>5</t>
  </si>
  <si>
    <t>Revisión:
1-	 Correcto. 1 pts
2-	Correcto. 0,5 pts
3-	Correcto. 0,5
4-	 Mezclan 3 requisitos en el requisito RF1, identificación, ingreso de inicio y fin de conducción, lo mismo pasa en el RF2, en el RF3 tienen que clarificar un evento. 0,5 pts
5-	 Demasiado ambiguo, tienen que especificar una métrica que defina que el software es claro, por ejemplo: “El chofer demora 20 segundos en ingresar sus datos el 95% de los ingresos”. O pts
6-	 Correcto. 1 pts
7-	 Muy buenos Mockups y gran definición de los datos que utilizarán. 1 pts
8-	 Coherente. 0,5 pts
Total: 5 pts.</t>
  </si>
  <si>
    <t>1-	 Correcto. 1 pts
2-	Correcto. 0,5 pts
3-	Definan claramente la funcionalidad antes de elaborar los requisitos, supondré que se centran en la visualización del panel de transacciones y ofertas. 0,3
4-	Para la trazabilidad de los requisitos se debe de definir un id. 0,8 pts
5-	Falta un id igualmente. 0,3 pts
6-	Correcto. 1 pts
7-	Hubiera sido ideal mostrar las alertas en los mockups, además que en las estructuras de datos hay que definir el tipo de dato (int, string, date, etc). 0,6 pts
8-	Correcto. 0,5 pts
Total 5 pts</t>
  </si>
  <si>
    <t>1-	 Correcto, pero tienes que definir que tipo de software es (app móvil, página web, app pc, etc.) 1.0 pts
2-	 Correcto. 0,5 pts
3-	 Correcto. 0,5 pts
4-	Definir claramente cual es el ID, en tu tabla tuviste que colocar en la primera columna como titulo ID, y trata que no sea solo un número, para no confundirlo con uno no funcional, además podrías especificar las horas en el requisito 1, apoyándote en las reglas de negocio. 0,8 pts 
5-	 Deberías agregar una métrica en el primer requisito que no solo sea temporal, por ejemplo “debe de cargar….en menos de 3 segundos el 95% de las veces”. 0,4 pts
6-	 Correcto. 1 pts
7-	Excelente. 1 pts 
8-	Correcto. 0,5 pts
Total: 5,3 pts</t>
  </si>
  <si>
    <t>4,4</t>
  </si>
  <si>
    <t>Revisión:
1-	 Correcto. 1 pts
2-	 Correcto. 0,5 pts
3-	 Correcto. 0,5 pts
4-	 Faltó asignar un ID. 0,8 pts
5-	 Faltó asignar ID a los requisitos, para trazabilidad. 0,3 pts
6-	 Correcto.  1 pts.
7-	 Los mockups no cumplen para nada el formato deseado, exageración en la estructura de datos, 0 pts.
8-	Los mockups no responden bien a los requisitos. 0,3 pts
Total: 4,4 pts</t>
  </si>
  <si>
    <t>Revisión:
1-	 Correcto. 1 pts
2-	 Correcto, pero pudieron identificar algún dolor que fomente la implementación de la plataforma. 0,5 pts
3-	 Correcto. 0,5 pts
4-	 El requisito RF0 es uno no funcional, además de no definir que es confiable, seguro y simple, el RF3 es muy ambiguo, tienen que definir el método de interacción. 0,6 pts
5-	 Correcto, pero es mejor utilizar métricas tipo: “ debe de estar disponible 100% en un año”. 0,5 pts.
6-	Correcto. 1 pts 
7-	 Correcto. 1 pts
8-	Coherente el desarrollo con su visión. 0,5 pts
Total: 5,6 pts</t>
  </si>
  <si>
    <t>5,6</t>
  </si>
  <si>
    <t>5,4</t>
  </si>
  <si>
    <t>Revisión:
1-	 Correcto. 1 pts
2-	 Correcto. 0,5 pts
3-	Tienen de describir de manera explícita la funcionalidad de implementaran, asumiré que se centran en lo tributario. 0,5 pts
4-	 Correcto, pero tuvieron que explicar que datos ingresa el cliente en el RF2, de manera corta. 1 pts
5-	 Correcta definición de sus requisitos, pero para el tema de las métricas, el tema de agregar solo el campo temporal no suele ser suficiente, por ejemplo, en el RNF1 pudo ser: “Debe poder crear y emitir facturas en menos de 60 segundos el 95% de las veces”. 0,5 pts
6-	 El RN2 es un poco ambiguo, ya que no explica en que momento se debe enviar, que se deba guardar log de envío, etc, además el RN3 tampoco se adapta si cambiara el valor IVA en Chile, tuvieron que centrarla más en lo expuesto por ley, para que sea una regla de negocio perpetua si es que cambia el IVA a futuro, o sea no dejarla textual, si no nombrar la ley. 0,7 pts
7-	 Buen modelo de datos se hubiera valorado más un diagrama E-R, con respecto al mockup, dado que hablan temas de usabilidad en su visión, tuvieron que igual colocar como serán los botones, distribución de estos, quizás colores incluso, pero en general buen desarrollo. 0,7 pts.
8-	 Correcto. 0,5 pts.
Total: 5,4 pts</t>
  </si>
  <si>
    <t>6</t>
  </si>
  <si>
    <t>Revisión:
1-	 Correcto. 1 pts
2-	 Correcto, pero en las clases de usuario es recomendable asumir su nivel de experiencia tecnológica. 0,5 pts
3-	 Correcto. 0,5 pts
4-	 Correcto. 1 pts
5-	 Correcto, pero en el RNF2 es buena practica además de colocar una métrica temporal colocar un porcentaje, ej: “…… el 95% de los cálculos”. 0,5
6-	 Correcto. 1 pts
7-	 Super estructurado, bien argumentado y excelente vinculación con los requisitos. 1 pts
8-	 Correcto. 0,5 pts.
Puntaje total: 6 pts</t>
  </si>
  <si>
    <t>2,4</t>
  </si>
  <si>
    <t>Revisión:
1-	Correcto. 1 pts 
2-	Correcto. 0,5 pts
3-	 Correcto. 0,5 pts
4-	 Todo requisito debe de tener un ID asignado, para temas de trazabilidad, además los requisitos no cumplen con el esquema para definirlos “El sistema debe permitir…..”. 0,4
5-	 Sin respuesta. 0 pts
6-	 Sin respuesta. 0 pts
7-	Sin respuesta. 0 pts 
8-	 Sin respuesta. 0 pts
Total: 2,4 pts</t>
  </si>
  <si>
    <t>Revisión:
1-	Correcto. 1 pts
2-	Correcto. 0,5 pts
3-	Falta definir explícitamente la funcionalidad a abordar. 0,2 pts
4-	 El RF07 Corresponde mas a una regla de negocio, pero fuera de eso está todo correcto. 0,9 pts
5-	 Correcto. 0,5 pts
6-	 Correcto. 1 pts
7-	 Bien estructurado y argumentado. 1 pts
8-	Coherente con lo definido en la declaración de visión. 0,5 pts
Total: 5,6 pts</t>
  </si>
  <si>
    <t>5,5</t>
  </si>
  <si>
    <t>Revisión:
1-	 Correcto. 1 pts
2-	 Correcto, igual es bueno describir las dolencias de los usuarios. 0,5 pts
3-	 Correcto. 0,5
4-	 Correcto. 1 pts
5-	 Correcto, pero en el RNF2 además de la métrica temporal, es recomendable agregar por ejemplo “…….el 95% de las veces”. 0,5 pts
6-	  Cierta ambigüedad en las reglas de negocio, no hay que colocar directamente la ley, si no definir como impactan en el sistema, ej: “El sistema debe clasificar toda medición de velocidad registrada en zonas urbanas cuyo valor exceda los 50 km/h como una infracción grave, generando automáticamente un evento de infracción con hora, ubicación GPS y evidencia asociada” y eso asociarlo a la ley. 0,5 pts
7-	 Correcto. 1 pts
8-	 Coherente. 0,5 pts.
Total: 5,5 pts</t>
  </si>
  <si>
    <t>5,2</t>
  </si>
  <si>
    <t xml:space="preserve">Revisión:
1-	 Correcto. 1 pts
2-	 Correcto. 0,5 pts
3-	 Faltó definir de manera clara la funcionalidad. 0,2 pts.
4-	 Correcto. 1 pts
5-	 Para la otra definan título de sus requisitos y regla de negocio, El segundo requisito es funcional, que es una interacción del usuario. 0,3 pts
6-	 Mal definidos en cuanto a estructuras, son similares a requisitos, RNF4 corregido: “Cuando el usuario suspenda su cuenta, el sistema debe ofrecerle la opción de conservar o eliminar sus datos personales. La decisión debe ser registrada y aplicada inmediatamente, conforme al artículo 13 de la Ley 19.628.” 0,7 pts
7-	 Correcto. 1 pts.
8-	Correcto. 0,5 pts
Total: 5,2 pts </t>
  </si>
  <si>
    <t>Revisión:
1-	Correcto. 1 pts 
2-	Correcto. 0,5 pts
3-	Correcto. 0,5 pts
4-	 Mal formato de especificación. 0,5 pts
5-	 Mal formato. 0,3 pts
6-	 Correcto. 1 pts.
7-	 Pudieron haber hecho los mockups en alguna plataforma, para que no sea solo texto, ya que no se entiende bien la distribución de este y se pudo explorar la usabilidad de este. 0,7 pts
8-	Correcto. 0,5 pts
Total: 5 pts</t>
  </si>
  <si>
    <t>Revisión:
1-	Correcto. 1 pts 
2-	 Correcto. 0,5 pts
3-	 Correcto. 0,5 pts
4-	 Falta un ID para cada requisito, además puede quedar mal visto el resumirlo con el “El sistema debe permitir: ”, aunque sea redundante colóquenlo. 0,7
5-	 Falta ID y el primer requisito es funcional. 0,2 pts
6-	 Correcto. 1 pts
7-	 Correcto. 1 pts
8-	Coherente. 0,5 pts</t>
  </si>
  <si>
    <t>4,9</t>
  </si>
  <si>
    <t xml:space="preserve">Revisión:
1-	Correcto, pero desarrollen más las falencias del sistema actual. 1 pts 
2-	 Correcto. 0,5 pts
3-	 Tuvieron que dejar la funcionalidad explicita. 0,3
4-	 Falta ID para trazabilidad. 0,7
5-	 Falta ID para trazabilidad y desarrollar aún más el requisito, ej: “El sistema debe responde en menos de 2 segundos ante las consultas de horas de los trabajadores por lo menos un 95% de las consultas totales.”. 0,3 pts
6-	 Correcto, hubiera sido ideal que las reglas se vueran reflejadas en los requisitos funcionales. 0,6
7-	 Perfecto. 1 pts
8-	Coherente. 0,5 pts
Total: </t>
  </si>
  <si>
    <t>5,7</t>
  </si>
  <si>
    <t>Revisión:
1-	 Desarrollar más la situación actual de la plataforma. 0,8 pts.
2-	 Correcto. 0,5 pts
3-	 Correcto. 0,5 pts
4-	 Correcto. 1 pts
5-	 En el RNF01 es recomendable colocar una métrica, tipo el 95% de las veces. 0,4 pts
6-	 Hubiera sido interesante ver reflejado la regla de negocio 2, fuera de eso están bien sus reglas. 1 pts
7-	 Correcto. 1 pts
8-	Coherente. 0,5 pts
Total: 5,7 pts</t>
  </si>
  <si>
    <t>Revisión:
1-	Correcto. 1 pts 
2-	 Desarrollar más la clase de usuario. 0,4 pts
3-	 Correcto. 0,5 pts
4-	 Mal formato de los requisitos, deben cumplir con “El usuario puede.., El sistema debe…”. 0,6
5-	 Correcto. 0,5
6-	 Correcto. 1 pts
7-	 Correcto, pero en el modelo de datos es recomendable definir el tipo de dato (int, string, date, etc) aunque parezca obvio. 0,8 pts
8-	Coherente. 0,5 pts
Total: 5,3 pts</t>
  </si>
  <si>
    <t>5,8</t>
  </si>
  <si>
    <t>Revisión:
1-	Correcto. 1 pts 
2-	Correcto. 0,5 pts
3-	Especifiquen la función en la que centraran, esta un poco amplio. 0,5 pts 
4-	 Correcto. 1pts
5-	 En el RNF2 falta colocar métricas, todo requisito no funcional debe tener alguna métrica en la que apoyarse. 0,3
6-	Correcto. 1 pts 
7-	 Correcto. 1 pts
8-	Coherente. 0,5
Total: 5,8 pts</t>
  </si>
  <si>
    <t>Revisión: 
1-	 Correcto. 1 pts
2-	 Pudieron hablar sobre la experiencia en tecnologías. 0,4
3-	 Correcto. 0,5 pts
4-	 Correcto. 1 pts
5-	 En los requisitos no funcionales siempre es importante colocar una métrica, además el RNF2 es un requisito funcional. 0,2 pts
6-	Correcto. 1 pts
7-	 En las estructuras de datos es importante colocar el tipo de dato, ojalá usar un diccionario de datos o modelo E-R. 0,8 pts
8-	Coherente. 0,5 pts.
Total: 5,4</t>
  </si>
  <si>
    <t>Revisión: 
1-	Correcto. 1 pts.
2-	Correcto. 0,5 pts
3-	Especifiquen funcionalidad. 0,3 pts. 
4-	 Los requisitos deben de tener ID para trazabilidad. 0,7 pts
5-	 Los requisitos deben de tener ID. 0,3 pts
6-	 Faltó ID. 0,7 pts
7-	 Super, todo muy claro y acorde a lo que definieron. 1 pts
8-	Coherente. 0,5
Total: 5</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</si>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</sst>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21"/>
      <name val="Times New Roman"/>
    </font>
    <font>
      <sz val="12"/>
      <name val="Times New Roman"/>
    </font>
    <font>
      <sz val="10"/>
      <name val="Times New Roman"/>
    </font>
    <font>
      <b/>
      <sz val="11"/>
      <name val="Arial"/>
    </font>
    <font>
      <sz val="9"/>
      <name val="Arial"/>
    </font>
    <font>
      <sz val="8"/>
      <name val="Arial"/>
    </font>
    <font>
      <sz val="9"/>
      <name val="Arial"/>
      <family val="2"/>
    </font>
    <font>
      <b/>
      <sz val="11"/>
      <name val="Arial"/>
      <family val="2"/>
    </font>
    <font>
      <sz val="8"/>
      <name val="Calibri"/>
      <family val="2"/>
      <scheme val="minor"/>
    </font>
    <font>
      <b/>
      <sz val="14"/>
      <color rgb="FF000000"/>
      <name val="Times New Roman"/>
      <family val="1"/>
    </font>
    <font>
      <sz val="10"/>
      <color theme="1"/>
      <name val="Times New Roman"/>
      <family val="1"/>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4" fillId="0" borderId="0" xfId="0" applyFont="1" applyAlignment="1">
      <alignment horizontal="left" vertical="top" wrapText="1" shrinkToFit="1" readingOrder="1"/>
    </xf>
    <xf numFmtId="49" fontId="5" fillId="0" borderId="0" xfId="0" applyNumberFormat="1" applyFont="1" applyAlignment="1">
      <alignment horizontal="left" vertical="top" wrapText="1" shrinkToFit="1" readingOrder="1"/>
    </xf>
    <xf numFmtId="0" fontId="5" fillId="0" borderId="0" xfId="0" applyFont="1" applyAlignment="1">
      <alignment horizontal="left" vertical="top" wrapText="1" shrinkToFit="1" readingOrder="1"/>
    </xf>
    <xf numFmtId="49" fontId="6" fillId="0" borderId="0" xfId="0" applyNumberFormat="1" applyFont="1" applyAlignment="1">
      <alignment horizontal="right" vertical="top" wrapText="1" shrinkToFit="1" readingOrder="1"/>
    </xf>
    <xf numFmtId="49" fontId="7" fillId="0" borderId="0" xfId="0" applyNumberFormat="1" applyFont="1" applyAlignment="1">
      <alignment horizontal="left" vertical="top" wrapText="1" shrinkToFit="1" readingOrder="1"/>
    </xf>
    <xf numFmtId="0" fontId="8" fillId="0" borderId="0" xfId="0" applyFont="1" applyAlignment="1">
      <alignment horizontal="left" vertical="top" wrapText="1" shrinkToFit="1" readingOrder="1"/>
    </xf>
    <xf numFmtId="0" fontId="10" fillId="0" borderId="0" xfId="0" applyFont="1" applyAlignment="1">
      <alignment vertical="center"/>
    </xf>
    <xf numFmtId="0" fontId="11" fillId="0" borderId="1" xfId="0" applyFont="1" applyBorder="1" applyAlignment="1">
      <alignment vertical="center" wrapText="1"/>
    </xf>
    <xf numFmtId="0" fontId="11" fillId="0" borderId="2"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7" fillId="0" borderId="0" xfId="0" applyNumberFormat="1" applyFont="1" applyAlignment="1">
      <alignment horizontal="left" vertical="top" wrapText="1" shrinkToFit="1" readingOrder="1"/>
    </xf>
    <xf numFmtId="0" fontId="1" fillId="0" borderId="0" xfId="0" applyFont="1" applyAlignment="1">
      <alignment horizontal="left" vertical="top" wrapText="1" shrinkToFit="1" readingOrder="1"/>
    </xf>
    <xf numFmtId="0" fontId="2" fillId="0" borderId="0" xfId="0" applyFont="1" applyAlignment="1">
      <alignment horizontal="left" vertical="top" wrapText="1" shrinkToFit="1" readingOrder="1"/>
    </xf>
    <xf numFmtId="0" fontId="3" fillId="0" borderId="0" xfId="0" applyFont="1" applyAlignment="1">
      <alignment horizontal="left" vertical="top" wrapText="1" shrinkToFit="1" readingOrder="1"/>
    </xf>
    <xf numFmtId="0" fontId="6" fillId="0" borderId="0" xfId="0" applyFont="1" applyAlignment="1">
      <alignment horizontal="left" vertical="top" wrapText="1" shrinkToFit="1" readingOrder="1"/>
    </xf>
  </cellXfs>
  <cellStyles count="1">
    <cellStyle name="Normal" xfId="0" builtinId="0"/>
  </cellStyles>
  <dxfs count="15">
    <dxf>
      <fill>
        <patternFill>
          <bgColor theme="9"/>
        </patternFill>
      </fill>
    </dxf>
    <dxf>
      <fill>
        <patternFill>
          <bgColor rgb="FFFF0000"/>
        </patternFill>
      </fill>
    </dxf>
    <dxf>
      <font>
        <b val="0"/>
        <i val="0"/>
        <strike val="0"/>
        <condense val="0"/>
        <extend val="0"/>
        <outline val="0"/>
        <shadow val="0"/>
        <u val="none"/>
        <vertAlign val="baseline"/>
        <sz val="9"/>
        <color auto="1"/>
        <name val="Arial"/>
        <scheme val="none"/>
      </font>
      <numFmt numFmtId="0" formatCode="General"/>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0" formatCode="General"/>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numFmt numFmtId="30" formatCode="@"/>
      <alignment horizontal="left" vertical="top" textRotation="0" wrapText="1" indent="0" justifyLastLine="0" shrinkToFit="1" readingOrder="1"/>
    </dxf>
    <dxf>
      <font>
        <b val="0"/>
        <i val="0"/>
        <strike val="0"/>
        <condense val="0"/>
        <extend val="0"/>
        <outline val="0"/>
        <shadow val="0"/>
        <u val="none"/>
        <vertAlign val="baseline"/>
        <sz val="9"/>
        <color auto="1"/>
        <name val="Arial"/>
        <scheme val="none"/>
      </font>
      <alignment horizontal="left" vertical="top" textRotation="0" wrapText="1" indent="0" justifyLastLine="0" shrinkToFit="1" readingOrder="1"/>
    </dxf>
    <dxf>
      <font>
        <b/>
        <i val="0"/>
        <strike val="0"/>
        <condense val="0"/>
        <extend val="0"/>
        <outline val="0"/>
        <shadow val="0"/>
        <u val="none"/>
        <vertAlign val="baseline"/>
        <sz val="11"/>
        <color auto="1"/>
        <name val="Arial"/>
        <scheme val="none"/>
      </font>
      <alignment horizontal="left" vertical="top" textRotation="0" wrapText="1" indent="0" justifyLastLine="0" shrinkToFit="1" readingOrder="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860E7D-7710-4861-AAFC-9910E8BEBD0C}" name="Tabla1" displayName="Tabla1" ref="A5:K51" totalsRowShown="0" headerRowDxfId="14" dataDxfId="13">
  <autoFilter ref="A5:K51" xr:uid="{B0860E7D-7710-4861-AAFC-9910E8BEBD0C}"/>
  <tableColumns count="11">
    <tableColumn id="1" xr3:uid="{5860B45D-F4CA-45B6-B435-1D65BC23E7B5}" name="Mov." dataDxfId="12"/>
    <tableColumn id="2" xr3:uid="{B19DF62F-857F-46B4-9B6D-75F08EB167C5}" name="Gr.Par." dataDxfId="11"/>
    <tableColumn id="3" xr3:uid="{8F65D88A-9EE4-475A-B25B-B02497148C60}" name="Rut" dataDxfId="10"/>
    <tableColumn id="4" xr3:uid="{F1EE990C-D9B7-4488-9C80-09EACA104644}" name="Nombre Estudiante" dataDxfId="9"/>
    <tableColumn id="5" xr3:uid="{0DFE344F-A03A-410F-8D65-F69A02D1863E}" name="Estado" dataDxfId="8"/>
    <tableColumn id="6" xr3:uid="{FE9253BF-AB6F-49B9-896D-E577BEC3798E}" name="Email" dataDxfId="7"/>
    <tableColumn id="7" xr3:uid="{EC62E9D2-0769-4FC6-A237-A1837EDC8173}" name="Carrera" dataDxfId="6"/>
    <tableColumn id="8" xr3:uid="{C0819FEA-9411-4A45-8571-1500A7BEC865}" name="Estado revisión" dataDxfId="5"/>
    <tableColumn id="9" xr3:uid="{8FF8D3B8-9BF4-4377-BDE5-9A3BA4915800}" name="Puntaje" dataDxfId="4"/>
    <tableColumn id="10" xr3:uid="{86DC64C5-1D26-46F5-8264-8D23FDD4BD1B}" name="Comentarios" dataDxfId="3"/>
    <tableColumn id="11" xr3:uid="{1190498C-523E-4F17-9D9F-18A3A5E9C248}" name="Nota" dataDxfId="2">
      <calculatedColumnFormula xml:space="preserve"> I6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P54"/>
  <sheetViews>
    <sheetView tabSelected="1" topLeftCell="B1" zoomScale="90" zoomScaleNormal="90" workbookViewId="0">
      <selection activeCell="F36" sqref="F36"/>
    </sheetView>
  </sheetViews>
  <sheetFormatPr baseColWidth="10" defaultRowHeight="14.5" x14ac:dyDescent="0.35"/>
  <cols>
    <col min="1" max="1" width="8" customWidth="1"/>
    <col min="2" max="2" width="9.54296875" customWidth="1"/>
    <col min="3" max="3" width="11.54296875" customWidth="1"/>
    <col min="4" max="4" width="28.453125" customWidth="1"/>
    <col min="5" max="5" width="10.54296875" customWidth="1"/>
    <col min="6" max="6" width="31.81640625" customWidth="1"/>
    <col min="7" max="7" width="10.08984375" customWidth="1"/>
    <col min="8" max="8" width="20.81640625" customWidth="1"/>
    <col min="9" max="9" width="15.90625" customWidth="1"/>
    <col min="10" max="10" width="34.54296875" customWidth="1"/>
    <col min="15" max="15" width="24.453125" customWidth="1"/>
    <col min="16" max="16" width="23.08984375" customWidth="1"/>
  </cols>
  <sheetData>
    <row r="1" spans="1:16" ht="24.75" customHeight="1" x14ac:dyDescent="0.35">
      <c r="A1" s="13" t="s">
        <v>0</v>
      </c>
      <c r="B1" s="13"/>
      <c r="C1" s="13"/>
      <c r="D1" s="13"/>
      <c r="E1" s="13"/>
      <c r="F1" s="13"/>
      <c r="G1" s="13"/>
      <c r="H1" s="13"/>
    </row>
    <row r="2" spans="1:16" ht="16.5" customHeight="1" x14ac:dyDescent="0.35">
      <c r="A2" s="14" t="s">
        <v>1</v>
      </c>
      <c r="B2" s="14"/>
      <c r="C2" s="14"/>
      <c r="D2" s="14"/>
      <c r="E2" s="14"/>
      <c r="F2" s="14"/>
      <c r="G2" s="14"/>
      <c r="H2" s="14"/>
    </row>
    <row r="3" spans="1:16" ht="17.25" customHeight="1" x14ac:dyDescent="0.35">
      <c r="A3" s="14" t="s">
        <v>2</v>
      </c>
      <c r="B3" s="14"/>
      <c r="C3" s="14"/>
      <c r="D3" s="14"/>
      <c r="E3" s="14"/>
      <c r="F3" s="14"/>
      <c r="G3" s="14"/>
      <c r="H3" s="14"/>
    </row>
    <row r="4" spans="1:16" ht="32.25" customHeight="1" x14ac:dyDescent="0.35">
      <c r="A4" s="15" t="s">
        <v>3</v>
      </c>
      <c r="B4" s="15"/>
      <c r="C4" s="15"/>
      <c r="D4" s="15"/>
      <c r="E4" s="15"/>
      <c r="F4" s="15"/>
      <c r="G4" s="15"/>
      <c r="H4" s="15"/>
    </row>
    <row r="5" spans="1:16" ht="18" customHeight="1" thickBot="1" x14ac:dyDescent="0.4">
      <c r="A5" s="1" t="s">
        <v>4</v>
      </c>
      <c r="B5" s="1" t="s">
        <v>5</v>
      </c>
      <c r="C5" s="1" t="s">
        <v>6</v>
      </c>
      <c r="D5" s="1" t="s">
        <v>7</v>
      </c>
      <c r="E5" s="1" t="s">
        <v>8</v>
      </c>
      <c r="F5" s="1" t="s">
        <v>9</v>
      </c>
      <c r="G5" s="1" t="s">
        <v>10</v>
      </c>
      <c r="H5" s="1" t="s">
        <v>153</v>
      </c>
      <c r="I5" s="6" t="s">
        <v>221</v>
      </c>
      <c r="J5" s="6" t="s">
        <v>156</v>
      </c>
      <c r="K5" s="6" t="s">
        <v>157</v>
      </c>
      <c r="M5" s="7" t="s">
        <v>160</v>
      </c>
    </row>
    <row r="6" spans="1:16" ht="22.5" customHeight="1" thickBot="1" x14ac:dyDescent="0.4">
      <c r="A6" s="2"/>
      <c r="B6" s="3">
        <v>0</v>
      </c>
      <c r="C6" s="2" t="s">
        <v>11</v>
      </c>
      <c r="D6" s="2" t="s">
        <v>12</v>
      </c>
      <c r="E6" s="2" t="s">
        <v>13</v>
      </c>
      <c r="F6" s="2" t="s">
        <v>14</v>
      </c>
      <c r="G6" s="2" t="s">
        <v>15</v>
      </c>
      <c r="H6" s="2" t="s">
        <v>155</v>
      </c>
      <c r="I6" s="12" t="s">
        <v>158</v>
      </c>
      <c r="J6" s="5" t="s">
        <v>159</v>
      </c>
      <c r="K6" s="12">
        <f t="shared" ref="K6:K51" si="0" xml:space="preserve"> I6 +1</f>
        <v>6.3</v>
      </c>
      <c r="M6" s="8" t="s">
        <v>161</v>
      </c>
      <c r="N6" s="9" t="s">
        <v>162</v>
      </c>
      <c r="O6" s="9" t="s">
        <v>163</v>
      </c>
      <c r="P6" s="9" t="s">
        <v>164</v>
      </c>
    </row>
    <row r="7" spans="1:16" ht="21.75" customHeight="1" thickBot="1" x14ac:dyDescent="0.4">
      <c r="A7" s="2"/>
      <c r="B7" s="3">
        <v>0</v>
      </c>
      <c r="C7" s="2" t="s">
        <v>16</v>
      </c>
      <c r="D7" s="2" t="s">
        <v>17</v>
      </c>
      <c r="E7" s="2" t="s">
        <v>13</v>
      </c>
      <c r="F7" s="2" t="s">
        <v>18</v>
      </c>
      <c r="G7" s="2" t="s">
        <v>15</v>
      </c>
      <c r="H7" s="2" t="s">
        <v>155</v>
      </c>
      <c r="I7" s="12" t="s">
        <v>212</v>
      </c>
      <c r="J7" s="5" t="s">
        <v>213</v>
      </c>
      <c r="K7" s="12">
        <f t="shared" si="0"/>
        <v>5.9</v>
      </c>
      <c r="M7" s="10" t="s">
        <v>165</v>
      </c>
      <c r="N7" s="11" t="s">
        <v>166</v>
      </c>
      <c r="O7" s="11" t="s">
        <v>167</v>
      </c>
      <c r="P7" s="11" t="s">
        <v>168</v>
      </c>
    </row>
    <row r="8" spans="1:16" ht="22.5" customHeight="1" thickBot="1" x14ac:dyDescent="0.4">
      <c r="A8" s="2"/>
      <c r="B8" s="3">
        <v>0</v>
      </c>
      <c r="C8" s="2" t="s">
        <v>19</v>
      </c>
      <c r="D8" s="2" t="s">
        <v>20</v>
      </c>
      <c r="E8" s="2" t="s">
        <v>13</v>
      </c>
      <c r="F8" s="2" t="s">
        <v>21</v>
      </c>
      <c r="G8" s="2" t="s">
        <v>15</v>
      </c>
      <c r="H8" s="2" t="s">
        <v>155</v>
      </c>
      <c r="I8" s="12" t="s">
        <v>206</v>
      </c>
      <c r="J8" s="5" t="s">
        <v>207</v>
      </c>
      <c r="K8" s="12">
        <f t="shared" si="0"/>
        <v>6.5</v>
      </c>
      <c r="M8" s="10" t="s">
        <v>169</v>
      </c>
      <c r="N8" s="11" t="s">
        <v>170</v>
      </c>
      <c r="O8" s="11" t="s">
        <v>171</v>
      </c>
      <c r="P8" s="11" t="s">
        <v>172</v>
      </c>
    </row>
    <row r="9" spans="1:16" ht="21.75" customHeight="1" thickBot="1" x14ac:dyDescent="0.4">
      <c r="A9" s="2"/>
      <c r="B9" s="3">
        <v>0</v>
      </c>
      <c r="C9" s="2" t="s">
        <v>22</v>
      </c>
      <c r="D9" s="2" t="s">
        <v>23</v>
      </c>
      <c r="E9" s="2" t="s">
        <v>13</v>
      </c>
      <c r="F9" s="2" t="s">
        <v>24</v>
      </c>
      <c r="G9" s="2" t="s">
        <v>15</v>
      </c>
      <c r="H9" s="2" t="s">
        <v>155</v>
      </c>
      <c r="I9" s="12" t="s">
        <v>199</v>
      </c>
      <c r="J9" s="5" t="s">
        <v>211</v>
      </c>
      <c r="K9" s="12">
        <f t="shared" si="0"/>
        <v>6.4</v>
      </c>
      <c r="M9" s="10" t="s">
        <v>173</v>
      </c>
      <c r="N9" s="11" t="s">
        <v>170</v>
      </c>
      <c r="O9" s="11" t="s">
        <v>174</v>
      </c>
      <c r="P9" s="11" t="s">
        <v>175</v>
      </c>
    </row>
    <row r="10" spans="1:16" ht="22.5" customHeight="1" thickBot="1" x14ac:dyDescent="0.4">
      <c r="A10" s="2"/>
      <c r="B10" s="3">
        <v>0</v>
      </c>
      <c r="C10" s="2" t="s">
        <v>25</v>
      </c>
      <c r="D10" s="2" t="s">
        <v>26</v>
      </c>
      <c r="E10" s="2" t="s">
        <v>13</v>
      </c>
      <c r="F10" s="2" t="s">
        <v>27</v>
      </c>
      <c r="G10" s="2" t="s">
        <v>15</v>
      </c>
      <c r="H10" s="2" t="s">
        <v>155</v>
      </c>
      <c r="I10" s="12" t="s">
        <v>201</v>
      </c>
      <c r="J10" s="5" t="s">
        <v>202</v>
      </c>
      <c r="K10" s="12">
        <f t="shared" si="0"/>
        <v>7</v>
      </c>
      <c r="M10" s="10" t="s">
        <v>176</v>
      </c>
      <c r="N10" s="11" t="s">
        <v>166</v>
      </c>
      <c r="O10" s="11" t="s">
        <v>177</v>
      </c>
      <c r="P10" s="11" t="s">
        <v>178</v>
      </c>
    </row>
    <row r="11" spans="1:16" ht="22.5" customHeight="1" thickBot="1" x14ac:dyDescent="0.4">
      <c r="A11" s="2"/>
      <c r="B11" s="3">
        <v>0</v>
      </c>
      <c r="C11" s="2" t="s">
        <v>28</v>
      </c>
      <c r="D11" s="2" t="s">
        <v>29</v>
      </c>
      <c r="E11" s="2" t="s">
        <v>13</v>
      </c>
      <c r="F11" s="2" t="s">
        <v>30</v>
      </c>
      <c r="G11" s="2" t="s">
        <v>15</v>
      </c>
      <c r="H11" s="2" t="s">
        <v>155</v>
      </c>
      <c r="I11" s="12" t="s">
        <v>158</v>
      </c>
      <c r="J11" s="5" t="s">
        <v>216</v>
      </c>
      <c r="K11" s="12">
        <f t="shared" si="0"/>
        <v>6.3</v>
      </c>
      <c r="M11" s="10" t="s">
        <v>179</v>
      </c>
      <c r="N11" s="11" t="s">
        <v>170</v>
      </c>
      <c r="O11" s="11" t="s">
        <v>180</v>
      </c>
      <c r="P11" s="11" t="s">
        <v>181</v>
      </c>
    </row>
    <row r="12" spans="1:16" ht="21.75" customHeight="1" thickBot="1" x14ac:dyDescent="0.4">
      <c r="A12" s="2"/>
      <c r="B12" s="3">
        <v>0</v>
      </c>
      <c r="C12" s="2" t="s">
        <v>31</v>
      </c>
      <c r="D12" s="2" t="s">
        <v>32</v>
      </c>
      <c r="E12" s="2" t="s">
        <v>13</v>
      </c>
      <c r="F12" s="2" t="s">
        <v>33</v>
      </c>
      <c r="G12" s="2" t="s">
        <v>15</v>
      </c>
      <c r="H12" s="2" t="s">
        <v>155</v>
      </c>
      <c r="I12" s="12" t="s">
        <v>198</v>
      </c>
      <c r="J12" s="5" t="s">
        <v>205</v>
      </c>
      <c r="K12" s="12">
        <f t="shared" si="0"/>
        <v>6.6</v>
      </c>
      <c r="M12" s="10" t="s">
        <v>182</v>
      </c>
      <c r="N12" s="11" t="s">
        <v>166</v>
      </c>
      <c r="O12" s="11" t="s">
        <v>183</v>
      </c>
      <c r="P12" s="11" t="s">
        <v>184</v>
      </c>
    </row>
    <row r="13" spans="1:16" ht="22.5" customHeight="1" thickBot="1" x14ac:dyDescent="0.4">
      <c r="A13" s="2"/>
      <c r="B13" s="3">
        <v>0</v>
      </c>
      <c r="C13" s="2" t="s">
        <v>34</v>
      </c>
      <c r="D13" s="2" t="s">
        <v>35</v>
      </c>
      <c r="E13" s="2" t="s">
        <v>13</v>
      </c>
      <c r="F13" s="2" t="s">
        <v>36</v>
      </c>
      <c r="G13" s="2" t="s">
        <v>15</v>
      </c>
      <c r="H13" s="2" t="s">
        <v>155</v>
      </c>
      <c r="I13" s="12" t="s">
        <v>158</v>
      </c>
      <c r="J13" s="5" t="s">
        <v>216</v>
      </c>
      <c r="K13" s="12">
        <f t="shared" si="0"/>
        <v>6.3</v>
      </c>
      <c r="M13" s="10" t="s">
        <v>185</v>
      </c>
      <c r="N13" s="11" t="s">
        <v>166</v>
      </c>
      <c r="O13" s="11" t="s">
        <v>186</v>
      </c>
      <c r="P13" s="11" t="s">
        <v>187</v>
      </c>
    </row>
    <row r="14" spans="1:16" ht="21.75" customHeight="1" thickBot="1" x14ac:dyDescent="0.4">
      <c r="A14" s="2"/>
      <c r="B14" s="3">
        <v>0</v>
      </c>
      <c r="C14" s="2" t="s">
        <v>37</v>
      </c>
      <c r="D14" s="2" t="s">
        <v>38</v>
      </c>
      <c r="E14" s="2" t="s">
        <v>13</v>
      </c>
      <c r="F14" s="2" t="s">
        <v>39</v>
      </c>
      <c r="G14" s="2" t="s">
        <v>15</v>
      </c>
      <c r="H14" s="2" t="s">
        <v>155</v>
      </c>
      <c r="I14" s="12" t="s">
        <v>191</v>
      </c>
      <c r="J14" s="5" t="s">
        <v>192</v>
      </c>
      <c r="K14" s="12">
        <f t="shared" si="0"/>
        <v>6</v>
      </c>
      <c r="M14" s="10" t="s">
        <v>188</v>
      </c>
      <c r="N14" s="11" t="s">
        <v>170</v>
      </c>
      <c r="O14" s="11" t="s">
        <v>189</v>
      </c>
      <c r="P14" s="11" t="s">
        <v>190</v>
      </c>
    </row>
    <row r="15" spans="1:16" ht="22.5" customHeight="1" x14ac:dyDescent="0.35">
      <c r="A15" s="2"/>
      <c r="B15" s="3">
        <v>0</v>
      </c>
      <c r="C15" s="2" t="s">
        <v>40</v>
      </c>
      <c r="D15" s="2" t="s">
        <v>41</v>
      </c>
      <c r="E15" s="2" t="s">
        <v>13</v>
      </c>
      <c r="F15" s="2" t="s">
        <v>42</v>
      </c>
      <c r="G15" s="2" t="s">
        <v>15</v>
      </c>
      <c r="H15" s="2" t="s">
        <v>155</v>
      </c>
      <c r="I15" s="12" t="s">
        <v>191</v>
      </c>
      <c r="J15" s="5" t="s">
        <v>192</v>
      </c>
      <c r="K15" s="12">
        <f t="shared" si="0"/>
        <v>6</v>
      </c>
    </row>
    <row r="16" spans="1:16" ht="32.25" customHeight="1" x14ac:dyDescent="0.35">
      <c r="A16" s="2"/>
      <c r="B16" s="3">
        <v>0</v>
      </c>
      <c r="C16" s="2" t="s">
        <v>43</v>
      </c>
      <c r="D16" s="2" t="s">
        <v>44</v>
      </c>
      <c r="E16" s="2" t="s">
        <v>13</v>
      </c>
      <c r="F16" s="2" t="s">
        <v>45</v>
      </c>
      <c r="G16" s="2" t="s">
        <v>15</v>
      </c>
      <c r="H16" s="2" t="s">
        <v>155</v>
      </c>
      <c r="I16" s="12" t="s">
        <v>199</v>
      </c>
      <c r="J16" s="5" t="s">
        <v>219</v>
      </c>
      <c r="K16" s="12">
        <f t="shared" si="0"/>
        <v>6.4</v>
      </c>
    </row>
    <row r="17" spans="1:11" ht="22.5" customHeight="1" x14ac:dyDescent="0.35">
      <c r="A17" s="2"/>
      <c r="B17" s="3">
        <v>0</v>
      </c>
      <c r="C17" s="2" t="s">
        <v>46</v>
      </c>
      <c r="D17" s="2" t="s">
        <v>47</v>
      </c>
      <c r="E17" s="2" t="s">
        <v>13</v>
      </c>
      <c r="F17" s="2" t="s">
        <v>48</v>
      </c>
      <c r="G17" s="2" t="s">
        <v>15</v>
      </c>
      <c r="H17" s="2" t="s">
        <v>155</v>
      </c>
      <c r="I17" s="12" t="s">
        <v>195</v>
      </c>
      <c r="J17" s="5" t="s">
        <v>196</v>
      </c>
      <c r="K17" s="12">
        <f t="shared" si="0"/>
        <v>5.4</v>
      </c>
    </row>
    <row r="18" spans="1:11" ht="22.5" customHeight="1" x14ac:dyDescent="0.35">
      <c r="A18" s="2"/>
      <c r="B18" s="3">
        <v>0</v>
      </c>
      <c r="C18" s="2" t="s">
        <v>49</v>
      </c>
      <c r="D18" s="2" t="s">
        <v>50</v>
      </c>
      <c r="E18" s="2" t="s">
        <v>13</v>
      </c>
      <c r="F18" s="2" t="s">
        <v>51</v>
      </c>
      <c r="G18" s="2" t="s">
        <v>15</v>
      </c>
      <c r="H18" s="2" t="s">
        <v>155</v>
      </c>
      <c r="I18" s="12" t="s">
        <v>212</v>
      </c>
      <c r="J18" s="5" t="s">
        <v>213</v>
      </c>
      <c r="K18" s="12">
        <f t="shared" si="0"/>
        <v>5.9</v>
      </c>
    </row>
    <row r="19" spans="1:11" ht="21.75" customHeight="1" x14ac:dyDescent="0.35">
      <c r="A19" s="2"/>
      <c r="B19" s="3">
        <v>0</v>
      </c>
      <c r="C19" s="2" t="s">
        <v>52</v>
      </c>
      <c r="D19" s="2" t="s">
        <v>53</v>
      </c>
      <c r="E19" s="2" t="s">
        <v>13</v>
      </c>
      <c r="F19" s="2" t="s">
        <v>54</v>
      </c>
      <c r="G19" s="2" t="s">
        <v>15</v>
      </c>
      <c r="H19" s="2" t="s">
        <v>155</v>
      </c>
      <c r="I19" s="12" t="s">
        <v>191</v>
      </c>
      <c r="J19" s="5" t="s">
        <v>220</v>
      </c>
      <c r="K19" s="12">
        <f t="shared" si="0"/>
        <v>6</v>
      </c>
    </row>
    <row r="20" spans="1:11" ht="22.5" customHeight="1" x14ac:dyDescent="0.35">
      <c r="A20" s="2"/>
      <c r="B20" s="3">
        <v>0</v>
      </c>
      <c r="C20" s="2" t="s">
        <v>55</v>
      </c>
      <c r="D20" s="2" t="s">
        <v>56</v>
      </c>
      <c r="E20" s="2" t="s">
        <v>13</v>
      </c>
      <c r="F20" s="2" t="s">
        <v>57</v>
      </c>
      <c r="G20" s="2" t="s">
        <v>15</v>
      </c>
      <c r="H20" s="2" t="s">
        <v>155</v>
      </c>
      <c r="I20" s="12" t="s">
        <v>198</v>
      </c>
      <c r="J20" s="5" t="s">
        <v>205</v>
      </c>
      <c r="K20" s="12">
        <f t="shared" si="0"/>
        <v>6.6</v>
      </c>
    </row>
    <row r="21" spans="1:11" ht="21.75" customHeight="1" x14ac:dyDescent="0.35">
      <c r="A21" s="2"/>
      <c r="B21" s="3">
        <v>0</v>
      </c>
      <c r="C21" s="2" t="s">
        <v>58</v>
      </c>
      <c r="D21" s="2" t="s">
        <v>59</v>
      </c>
      <c r="E21" s="2" t="s">
        <v>13</v>
      </c>
      <c r="F21" s="2" t="s">
        <v>60</v>
      </c>
      <c r="G21" s="2" t="s">
        <v>15</v>
      </c>
      <c r="H21" s="2" t="s">
        <v>155</v>
      </c>
      <c r="I21" s="12" t="s">
        <v>217</v>
      </c>
      <c r="J21" s="5" t="s">
        <v>218</v>
      </c>
      <c r="K21" s="12">
        <f t="shared" si="0"/>
        <v>6.8</v>
      </c>
    </row>
    <row r="22" spans="1:11" ht="22.5" customHeight="1" x14ac:dyDescent="0.35">
      <c r="A22" s="2"/>
      <c r="B22" s="3">
        <v>0</v>
      </c>
      <c r="C22" s="2" t="s">
        <v>61</v>
      </c>
      <c r="D22" s="2" t="s">
        <v>62</v>
      </c>
      <c r="E22" s="2" t="s">
        <v>13</v>
      </c>
      <c r="F22" s="2" t="s">
        <v>63</v>
      </c>
      <c r="G22" s="2" t="s">
        <v>15</v>
      </c>
      <c r="H22" s="2" t="s">
        <v>155</v>
      </c>
      <c r="I22" s="12" t="s">
        <v>158</v>
      </c>
      <c r="J22" s="5" t="s">
        <v>194</v>
      </c>
      <c r="K22" s="12">
        <f t="shared" si="0"/>
        <v>6.3</v>
      </c>
    </row>
    <row r="23" spans="1:11" ht="22.5" customHeight="1" x14ac:dyDescent="0.35">
      <c r="A23" s="2"/>
      <c r="B23" s="3">
        <v>0</v>
      </c>
      <c r="C23" s="2" t="s">
        <v>64</v>
      </c>
      <c r="D23" s="2" t="s">
        <v>65</v>
      </c>
      <c r="E23" s="2" t="s">
        <v>13</v>
      </c>
      <c r="F23" s="2" t="s">
        <v>66</v>
      </c>
      <c r="G23" s="2" t="s">
        <v>15</v>
      </c>
      <c r="H23" s="2" t="s">
        <v>155</v>
      </c>
      <c r="I23" s="12" t="s">
        <v>199</v>
      </c>
      <c r="J23" s="5" t="s">
        <v>211</v>
      </c>
      <c r="K23" s="12">
        <f t="shared" si="0"/>
        <v>6.4</v>
      </c>
    </row>
    <row r="24" spans="1:11" ht="21.75" customHeight="1" x14ac:dyDescent="0.35">
      <c r="A24" s="2"/>
      <c r="B24" s="3">
        <v>0</v>
      </c>
      <c r="C24" s="2" t="s">
        <v>67</v>
      </c>
      <c r="D24" s="2" t="s">
        <v>68</v>
      </c>
      <c r="E24" s="2" t="s">
        <v>13</v>
      </c>
      <c r="F24" s="2" t="s">
        <v>69</v>
      </c>
      <c r="G24" s="2" t="s">
        <v>15</v>
      </c>
      <c r="H24" s="2" t="s">
        <v>155</v>
      </c>
      <c r="I24" s="12" t="s">
        <v>191</v>
      </c>
      <c r="J24" s="5" t="s">
        <v>202</v>
      </c>
      <c r="K24" s="12">
        <f t="shared" si="0"/>
        <v>6</v>
      </c>
    </row>
    <row r="25" spans="1:11" ht="22.5" customHeight="1" x14ac:dyDescent="0.35">
      <c r="A25" s="2"/>
      <c r="B25" s="3">
        <v>0</v>
      </c>
      <c r="C25" s="2" t="s">
        <v>70</v>
      </c>
      <c r="D25" s="2" t="s">
        <v>71</v>
      </c>
      <c r="E25" s="2" t="s">
        <v>13</v>
      </c>
      <c r="F25" s="2" t="s">
        <v>72</v>
      </c>
      <c r="G25" s="2" t="s">
        <v>15</v>
      </c>
      <c r="H25" s="2" t="s">
        <v>155</v>
      </c>
      <c r="I25" s="12" t="s">
        <v>212</v>
      </c>
      <c r="J25" s="5" t="s">
        <v>213</v>
      </c>
      <c r="K25" s="12">
        <f t="shared" si="0"/>
        <v>5.9</v>
      </c>
    </row>
    <row r="26" spans="1:11" ht="21.75" customHeight="1" x14ac:dyDescent="0.35">
      <c r="A26" s="2"/>
      <c r="B26" s="3">
        <v>0</v>
      </c>
      <c r="C26" s="2" t="s">
        <v>73</v>
      </c>
      <c r="D26" s="2" t="s">
        <v>74</v>
      </c>
      <c r="E26" s="2" t="s">
        <v>13</v>
      </c>
      <c r="F26" s="2" t="s">
        <v>75</v>
      </c>
      <c r="G26" s="2" t="s">
        <v>15</v>
      </c>
      <c r="H26" s="2" t="s">
        <v>155</v>
      </c>
      <c r="I26" s="12" t="s">
        <v>191</v>
      </c>
      <c r="J26" s="5" t="s">
        <v>220</v>
      </c>
      <c r="K26" s="12">
        <f t="shared" si="0"/>
        <v>6</v>
      </c>
    </row>
    <row r="27" spans="1:11" ht="22.5" customHeight="1" x14ac:dyDescent="0.35">
      <c r="A27" s="2"/>
      <c r="B27" s="3">
        <v>0</v>
      </c>
      <c r="C27" s="2" t="s">
        <v>76</v>
      </c>
      <c r="D27" s="2" t="s">
        <v>77</v>
      </c>
      <c r="E27" s="2" t="s">
        <v>13</v>
      </c>
      <c r="F27" s="2" t="s">
        <v>78</v>
      </c>
      <c r="G27" s="2" t="s">
        <v>15</v>
      </c>
      <c r="H27" s="2" t="s">
        <v>155</v>
      </c>
      <c r="I27" s="12" t="s">
        <v>198</v>
      </c>
      <c r="J27" s="5" t="s">
        <v>205</v>
      </c>
      <c r="K27" s="12">
        <f t="shared" si="0"/>
        <v>6.6</v>
      </c>
    </row>
    <row r="28" spans="1:11" ht="22.5" customHeight="1" x14ac:dyDescent="0.35">
      <c r="A28" s="2"/>
      <c r="B28" s="3">
        <v>0</v>
      </c>
      <c r="C28" s="2" t="s">
        <v>79</v>
      </c>
      <c r="D28" s="2" t="s">
        <v>80</v>
      </c>
      <c r="E28" s="2" t="s">
        <v>13</v>
      </c>
      <c r="F28" s="2" t="s">
        <v>81</v>
      </c>
      <c r="G28" s="2" t="s">
        <v>15</v>
      </c>
      <c r="H28" s="2" t="s">
        <v>155</v>
      </c>
      <c r="I28" s="12" t="s">
        <v>206</v>
      </c>
      <c r="J28" s="5" t="s">
        <v>207</v>
      </c>
      <c r="K28" s="12">
        <f t="shared" si="0"/>
        <v>6.5</v>
      </c>
    </row>
    <row r="29" spans="1:11" ht="22.5" customHeight="1" x14ac:dyDescent="0.35">
      <c r="A29" s="2"/>
      <c r="B29" s="3">
        <v>0</v>
      </c>
      <c r="C29" s="2" t="s">
        <v>82</v>
      </c>
      <c r="D29" s="2" t="s">
        <v>83</v>
      </c>
      <c r="E29" s="2" t="s">
        <v>13</v>
      </c>
      <c r="F29" s="2" t="s">
        <v>84</v>
      </c>
      <c r="G29" s="2" t="s">
        <v>15</v>
      </c>
      <c r="H29" s="2" t="s">
        <v>155</v>
      </c>
      <c r="I29" s="12" t="s">
        <v>195</v>
      </c>
      <c r="J29" s="5" t="s">
        <v>196</v>
      </c>
      <c r="K29" s="12">
        <f t="shared" si="0"/>
        <v>5.4</v>
      </c>
    </row>
    <row r="30" spans="1:11" ht="21.75" customHeight="1" x14ac:dyDescent="0.35">
      <c r="A30" s="2"/>
      <c r="B30" s="3">
        <v>0</v>
      </c>
      <c r="C30" s="2" t="s">
        <v>85</v>
      </c>
      <c r="D30" s="2" t="s">
        <v>86</v>
      </c>
      <c r="E30" s="2" t="s">
        <v>13</v>
      </c>
      <c r="F30" s="2" t="s">
        <v>87</v>
      </c>
      <c r="G30" s="2" t="s">
        <v>15</v>
      </c>
      <c r="H30" s="2" t="s">
        <v>155</v>
      </c>
      <c r="I30" s="12" t="s">
        <v>206</v>
      </c>
      <c r="J30" s="5" t="s">
        <v>207</v>
      </c>
      <c r="K30" s="12">
        <f t="shared" si="0"/>
        <v>6.5</v>
      </c>
    </row>
    <row r="31" spans="1:11" ht="22.5" customHeight="1" x14ac:dyDescent="0.35">
      <c r="A31" s="2"/>
      <c r="B31" s="3">
        <v>0</v>
      </c>
      <c r="C31" s="2" t="s">
        <v>88</v>
      </c>
      <c r="D31" s="2" t="s">
        <v>89</v>
      </c>
      <c r="E31" s="2" t="s">
        <v>13</v>
      </c>
      <c r="F31" s="2" t="s">
        <v>90</v>
      </c>
      <c r="G31" s="2" t="s">
        <v>15</v>
      </c>
      <c r="H31" s="2" t="s">
        <v>155</v>
      </c>
      <c r="I31" s="12" t="s">
        <v>208</v>
      </c>
      <c r="J31" s="5" t="s">
        <v>209</v>
      </c>
      <c r="K31" s="12">
        <f t="shared" si="0"/>
        <v>6.2</v>
      </c>
    </row>
    <row r="32" spans="1:11" ht="22.5" customHeight="1" x14ac:dyDescent="0.35">
      <c r="A32" s="2"/>
      <c r="B32" s="3">
        <v>0</v>
      </c>
      <c r="C32" s="2" t="s">
        <v>91</v>
      </c>
      <c r="D32" s="2" t="s">
        <v>92</v>
      </c>
      <c r="E32" s="2" t="s">
        <v>13</v>
      </c>
      <c r="F32" s="2" t="s">
        <v>93</v>
      </c>
      <c r="G32" s="2" t="s">
        <v>15</v>
      </c>
      <c r="H32" s="2" t="s">
        <v>155</v>
      </c>
      <c r="I32" s="12" t="s">
        <v>198</v>
      </c>
      <c r="J32" s="5" t="s">
        <v>197</v>
      </c>
      <c r="K32" s="12">
        <f t="shared" si="0"/>
        <v>6.6</v>
      </c>
    </row>
    <row r="33" spans="1:11" ht="21.75" customHeight="1" x14ac:dyDescent="0.35">
      <c r="A33" s="2"/>
      <c r="B33" s="3">
        <v>0</v>
      </c>
      <c r="C33" s="2" t="s">
        <v>94</v>
      </c>
      <c r="D33" s="2" t="s">
        <v>95</v>
      </c>
      <c r="E33" s="2" t="s">
        <v>13</v>
      </c>
      <c r="F33" s="2" t="s">
        <v>96</v>
      </c>
      <c r="G33" s="2" t="s">
        <v>15</v>
      </c>
      <c r="H33" s="2" t="s">
        <v>155</v>
      </c>
      <c r="I33" s="12" t="s">
        <v>208</v>
      </c>
      <c r="J33" s="5" t="s">
        <v>209</v>
      </c>
      <c r="K33" s="12">
        <f t="shared" si="0"/>
        <v>6.2</v>
      </c>
    </row>
    <row r="34" spans="1:11" ht="22.5" customHeight="1" x14ac:dyDescent="0.35">
      <c r="A34" s="2"/>
      <c r="B34" s="3">
        <v>0</v>
      </c>
      <c r="C34" s="2" t="s">
        <v>97</v>
      </c>
      <c r="D34" s="2" t="s">
        <v>98</v>
      </c>
      <c r="E34" s="2" t="s">
        <v>13</v>
      </c>
      <c r="F34" s="2" t="s">
        <v>99</v>
      </c>
      <c r="G34" s="2" t="s">
        <v>15</v>
      </c>
      <c r="H34" s="2" t="s">
        <v>155</v>
      </c>
      <c r="I34" s="12" t="s">
        <v>199</v>
      </c>
      <c r="J34" s="5" t="s">
        <v>200</v>
      </c>
      <c r="K34" s="12">
        <f t="shared" si="0"/>
        <v>6.4</v>
      </c>
    </row>
    <row r="35" spans="1:11" ht="21.75" customHeight="1" x14ac:dyDescent="0.35">
      <c r="A35" s="2"/>
      <c r="B35" s="3">
        <v>0</v>
      </c>
      <c r="C35" s="2" t="s">
        <v>100</v>
      </c>
      <c r="D35" s="2" t="s">
        <v>101</v>
      </c>
      <c r="E35" s="2" t="s">
        <v>13</v>
      </c>
      <c r="F35" s="2" t="s">
        <v>102</v>
      </c>
      <c r="G35" s="2" t="s">
        <v>15</v>
      </c>
      <c r="H35" s="2" t="s">
        <v>155</v>
      </c>
      <c r="I35" s="12" t="s">
        <v>158</v>
      </c>
      <c r="J35" s="5" t="s">
        <v>216</v>
      </c>
      <c r="K35" s="12">
        <f t="shared" si="0"/>
        <v>6.3</v>
      </c>
    </row>
    <row r="36" spans="1:11" ht="22.5" customHeight="1" x14ac:dyDescent="0.35">
      <c r="A36" s="2"/>
      <c r="B36" s="3">
        <v>0</v>
      </c>
      <c r="C36" s="2" t="s">
        <v>103</v>
      </c>
      <c r="D36" s="2" t="s">
        <v>104</v>
      </c>
      <c r="E36" s="2" t="s">
        <v>13</v>
      </c>
      <c r="F36" s="2" t="s">
        <v>105</v>
      </c>
      <c r="G36" s="2" t="s">
        <v>15</v>
      </c>
      <c r="H36" s="2" t="s">
        <v>155</v>
      </c>
      <c r="I36" s="12" t="s">
        <v>191</v>
      </c>
      <c r="J36" s="5" t="s">
        <v>210</v>
      </c>
      <c r="K36" s="12">
        <f t="shared" si="0"/>
        <v>6</v>
      </c>
    </row>
    <row r="37" spans="1:11" ht="22.5" customHeight="1" x14ac:dyDescent="0.35">
      <c r="A37" s="2"/>
      <c r="B37" s="3">
        <v>0</v>
      </c>
      <c r="C37" s="2" t="s">
        <v>106</v>
      </c>
      <c r="D37" s="2" t="s">
        <v>107</v>
      </c>
      <c r="E37" s="2" t="s">
        <v>13</v>
      </c>
      <c r="F37" s="2" t="s">
        <v>108</v>
      </c>
      <c r="G37" s="2" t="s">
        <v>15</v>
      </c>
      <c r="H37" s="2" t="s">
        <v>155</v>
      </c>
      <c r="I37" s="12" t="s">
        <v>191</v>
      </c>
      <c r="J37" s="5" t="s">
        <v>193</v>
      </c>
      <c r="K37" s="12">
        <f t="shared" si="0"/>
        <v>6</v>
      </c>
    </row>
    <row r="38" spans="1:11" ht="21.75" customHeight="1" x14ac:dyDescent="0.35">
      <c r="A38" s="2"/>
      <c r="B38" s="3">
        <v>0</v>
      </c>
      <c r="C38" s="2" t="s">
        <v>109</v>
      </c>
      <c r="D38" s="2" t="s">
        <v>110</v>
      </c>
      <c r="E38" s="2" t="s">
        <v>13</v>
      </c>
      <c r="F38" s="2" t="s">
        <v>111</v>
      </c>
      <c r="G38" s="2" t="s">
        <v>15</v>
      </c>
      <c r="H38" s="2" t="s">
        <v>155</v>
      </c>
      <c r="I38" s="12" t="s">
        <v>199</v>
      </c>
      <c r="J38" s="5" t="s">
        <v>219</v>
      </c>
      <c r="K38" s="12">
        <f t="shared" si="0"/>
        <v>6.4</v>
      </c>
    </row>
    <row r="39" spans="1:11" ht="22.5" customHeight="1" x14ac:dyDescent="0.35">
      <c r="A39" s="2"/>
      <c r="B39" s="3">
        <v>0</v>
      </c>
      <c r="C39" s="2" t="s">
        <v>112</v>
      </c>
      <c r="D39" s="2" t="s">
        <v>113</v>
      </c>
      <c r="E39" s="2" t="s">
        <v>13</v>
      </c>
      <c r="F39" s="2" t="s">
        <v>114</v>
      </c>
      <c r="G39" s="2" t="s">
        <v>15</v>
      </c>
      <c r="H39" s="2" t="s">
        <v>155</v>
      </c>
      <c r="I39" s="12" t="s">
        <v>191</v>
      </c>
      <c r="J39" s="5" t="s">
        <v>193</v>
      </c>
      <c r="K39" s="12">
        <f t="shared" si="0"/>
        <v>6</v>
      </c>
    </row>
    <row r="40" spans="1:11" ht="21.75" customHeight="1" x14ac:dyDescent="0.35">
      <c r="A40" s="2"/>
      <c r="B40" s="3">
        <v>0</v>
      </c>
      <c r="C40" s="2" t="s">
        <v>115</v>
      </c>
      <c r="D40" s="2" t="s">
        <v>116</v>
      </c>
      <c r="E40" s="2" t="s">
        <v>13</v>
      </c>
      <c r="F40" s="2" t="s">
        <v>117</v>
      </c>
      <c r="G40" s="2" t="s">
        <v>15</v>
      </c>
      <c r="H40" s="2" t="s">
        <v>155</v>
      </c>
      <c r="I40" s="12" t="s">
        <v>208</v>
      </c>
      <c r="J40" s="5" t="s">
        <v>209</v>
      </c>
      <c r="K40" s="12">
        <f t="shared" si="0"/>
        <v>6.2</v>
      </c>
    </row>
    <row r="41" spans="1:11" ht="22.5" customHeight="1" x14ac:dyDescent="0.35">
      <c r="A41" s="2"/>
      <c r="B41" s="3">
        <v>0</v>
      </c>
      <c r="C41" s="2" t="s">
        <v>118</v>
      </c>
      <c r="D41" s="2" t="s">
        <v>119</v>
      </c>
      <c r="E41" s="2" t="s">
        <v>13</v>
      </c>
      <c r="F41" s="2" t="s">
        <v>120</v>
      </c>
      <c r="G41" s="2" t="s">
        <v>15</v>
      </c>
      <c r="H41" s="2" t="s">
        <v>155</v>
      </c>
      <c r="I41" s="12" t="s">
        <v>158</v>
      </c>
      <c r="J41" s="5" t="s">
        <v>159</v>
      </c>
      <c r="K41" s="12">
        <f t="shared" si="0"/>
        <v>6.3</v>
      </c>
    </row>
    <row r="42" spans="1:11" ht="22.5" customHeight="1" x14ac:dyDescent="0.35">
      <c r="A42" s="2"/>
      <c r="B42" s="3">
        <v>0</v>
      </c>
      <c r="C42" s="2" t="s">
        <v>121</v>
      </c>
      <c r="D42" s="2" t="s">
        <v>122</v>
      </c>
      <c r="E42" s="2" t="s">
        <v>13</v>
      </c>
      <c r="F42" s="2" t="s">
        <v>123</v>
      </c>
      <c r="G42" s="2" t="s">
        <v>15</v>
      </c>
      <c r="H42" s="2" t="s">
        <v>155</v>
      </c>
      <c r="I42" s="12" t="s">
        <v>191</v>
      </c>
      <c r="J42" s="5" t="s">
        <v>210</v>
      </c>
      <c r="K42" s="12">
        <f t="shared" si="0"/>
        <v>6</v>
      </c>
    </row>
    <row r="43" spans="1:11" ht="21.75" customHeight="1" x14ac:dyDescent="0.35">
      <c r="A43" s="2"/>
      <c r="B43" s="3">
        <v>0</v>
      </c>
      <c r="C43" s="2" t="s">
        <v>124</v>
      </c>
      <c r="D43" s="2" t="s">
        <v>125</v>
      </c>
      <c r="E43" s="2" t="s">
        <v>13</v>
      </c>
      <c r="F43" s="2" t="s">
        <v>126</v>
      </c>
      <c r="G43" s="2" t="s">
        <v>15</v>
      </c>
      <c r="H43" s="2" t="s">
        <v>155</v>
      </c>
      <c r="I43" s="12" t="s">
        <v>214</v>
      </c>
      <c r="J43" s="5" t="s">
        <v>215</v>
      </c>
      <c r="K43" s="12">
        <f t="shared" si="0"/>
        <v>6.7</v>
      </c>
    </row>
    <row r="44" spans="1:11" ht="22.5" customHeight="1" x14ac:dyDescent="0.35">
      <c r="A44" s="2"/>
      <c r="B44" s="3">
        <v>0</v>
      </c>
      <c r="C44" s="2" t="s">
        <v>127</v>
      </c>
      <c r="D44" s="2" t="s">
        <v>128</v>
      </c>
      <c r="E44" s="2" t="s">
        <v>13</v>
      </c>
      <c r="F44" s="2" t="s">
        <v>129</v>
      </c>
      <c r="G44" s="2" t="s">
        <v>15</v>
      </c>
      <c r="H44" s="2" t="s">
        <v>155</v>
      </c>
      <c r="I44" s="12" t="s">
        <v>191</v>
      </c>
      <c r="J44" s="5" t="s">
        <v>220</v>
      </c>
      <c r="K44" s="12">
        <f t="shared" si="0"/>
        <v>6</v>
      </c>
    </row>
    <row r="45" spans="1:11" ht="21.75" customHeight="1" x14ac:dyDescent="0.35">
      <c r="A45" s="2"/>
      <c r="B45" s="3">
        <v>0</v>
      </c>
      <c r="C45" s="2" t="s">
        <v>130</v>
      </c>
      <c r="D45" s="2" t="s">
        <v>131</v>
      </c>
      <c r="E45" s="2" t="s">
        <v>13</v>
      </c>
      <c r="F45" s="2" t="s">
        <v>132</v>
      </c>
      <c r="G45" s="2" t="s">
        <v>15</v>
      </c>
      <c r="H45" s="2" t="s">
        <v>155</v>
      </c>
      <c r="I45" s="12" t="s">
        <v>214</v>
      </c>
      <c r="J45" s="5" t="s">
        <v>215</v>
      </c>
      <c r="K45" s="12">
        <f t="shared" si="0"/>
        <v>6.7</v>
      </c>
    </row>
    <row r="46" spans="1:11" ht="22.5" customHeight="1" x14ac:dyDescent="0.35">
      <c r="A46" s="2"/>
      <c r="B46" s="3">
        <v>0</v>
      </c>
      <c r="C46" s="2" t="s">
        <v>133</v>
      </c>
      <c r="D46" s="2" t="s">
        <v>134</v>
      </c>
      <c r="E46" s="2" t="s">
        <v>13</v>
      </c>
      <c r="F46" s="2" t="s">
        <v>135</v>
      </c>
      <c r="G46" s="2" t="s">
        <v>15</v>
      </c>
      <c r="H46" s="2" t="s">
        <v>155</v>
      </c>
      <c r="I46" s="12" t="s">
        <v>214</v>
      </c>
      <c r="J46" s="5" t="s">
        <v>215</v>
      </c>
      <c r="K46" s="12">
        <f t="shared" si="0"/>
        <v>6.7</v>
      </c>
    </row>
    <row r="47" spans="1:11" ht="21.75" customHeight="1" x14ac:dyDescent="0.35">
      <c r="A47" s="2"/>
      <c r="B47" s="3">
        <v>0</v>
      </c>
      <c r="C47" s="2" t="s">
        <v>136</v>
      </c>
      <c r="D47" s="2" t="s">
        <v>137</v>
      </c>
      <c r="E47" s="2" t="s">
        <v>13</v>
      </c>
      <c r="F47" s="2" t="s">
        <v>138</v>
      </c>
      <c r="G47" s="2" t="s">
        <v>15</v>
      </c>
      <c r="H47" s="2" t="s">
        <v>155</v>
      </c>
      <c r="I47" s="12" t="s">
        <v>198</v>
      </c>
      <c r="J47" s="5" t="s">
        <v>197</v>
      </c>
      <c r="K47" s="12">
        <f t="shared" si="0"/>
        <v>6.6</v>
      </c>
    </row>
    <row r="48" spans="1:11" ht="22.5" customHeight="1" x14ac:dyDescent="0.35">
      <c r="A48" s="2"/>
      <c r="B48" s="3">
        <v>0</v>
      </c>
      <c r="C48" s="2" t="s">
        <v>139</v>
      </c>
      <c r="D48" s="2" t="s">
        <v>140</v>
      </c>
      <c r="E48" s="2" t="s">
        <v>13</v>
      </c>
      <c r="F48" s="2" t="s">
        <v>141</v>
      </c>
      <c r="G48" s="2" t="s">
        <v>15</v>
      </c>
      <c r="H48" s="2" t="s">
        <v>155</v>
      </c>
      <c r="I48" s="12" t="s">
        <v>199</v>
      </c>
      <c r="J48" s="5" t="s">
        <v>200</v>
      </c>
      <c r="K48" s="12">
        <f t="shared" si="0"/>
        <v>6.4</v>
      </c>
    </row>
    <row r="49" spans="1:11" ht="22.5" customHeight="1" x14ac:dyDescent="0.35">
      <c r="A49" s="2"/>
      <c r="B49" s="3">
        <v>0</v>
      </c>
      <c r="C49" s="2" t="s">
        <v>142</v>
      </c>
      <c r="D49" s="2" t="s">
        <v>143</v>
      </c>
      <c r="E49" s="2" t="s">
        <v>13</v>
      </c>
      <c r="F49" s="2" t="s">
        <v>144</v>
      </c>
      <c r="G49" s="2" t="s">
        <v>15</v>
      </c>
      <c r="H49" s="2" t="s">
        <v>155</v>
      </c>
      <c r="I49" s="12" t="s">
        <v>199</v>
      </c>
      <c r="J49" s="5" t="s">
        <v>211</v>
      </c>
      <c r="K49" s="12">
        <f t="shared" si="0"/>
        <v>6.4</v>
      </c>
    </row>
    <row r="50" spans="1:11" ht="21.75" customHeight="1" x14ac:dyDescent="0.35">
      <c r="A50" s="2"/>
      <c r="B50" s="3">
        <v>0</v>
      </c>
      <c r="C50" s="2" t="s">
        <v>145</v>
      </c>
      <c r="D50" s="2" t="s">
        <v>146</v>
      </c>
      <c r="E50" s="2" t="s">
        <v>13</v>
      </c>
      <c r="F50" s="2" t="s">
        <v>147</v>
      </c>
      <c r="G50" s="2" t="s">
        <v>15</v>
      </c>
      <c r="H50" s="2" t="s">
        <v>155</v>
      </c>
      <c r="I50" s="12" t="s">
        <v>191</v>
      </c>
      <c r="J50" s="5" t="s">
        <v>210</v>
      </c>
      <c r="K50" s="12">
        <f t="shared" si="0"/>
        <v>6</v>
      </c>
    </row>
    <row r="51" spans="1:11" ht="39" customHeight="1" x14ac:dyDescent="0.35">
      <c r="A51" s="2"/>
      <c r="B51" s="3">
        <v>0</v>
      </c>
      <c r="C51" s="2" t="s">
        <v>148</v>
      </c>
      <c r="D51" s="2" t="s">
        <v>149</v>
      </c>
      <c r="E51" s="2" t="s">
        <v>13</v>
      </c>
      <c r="F51" s="2" t="s">
        <v>150</v>
      </c>
      <c r="G51" s="2" t="s">
        <v>15</v>
      </c>
      <c r="H51" s="2" t="s">
        <v>155</v>
      </c>
      <c r="I51" s="12" t="s">
        <v>203</v>
      </c>
      <c r="J51" s="5" t="s">
        <v>204</v>
      </c>
      <c r="K51" s="12">
        <f t="shared" si="0"/>
        <v>3.4</v>
      </c>
    </row>
    <row r="52" spans="1:11" ht="16.5" customHeight="1" x14ac:dyDescent="0.35">
      <c r="A52" s="16" t="s">
        <v>151</v>
      </c>
      <c r="B52" s="16"/>
      <c r="C52" s="16"/>
      <c r="D52" s="16"/>
      <c r="E52" s="16"/>
      <c r="F52" s="16"/>
      <c r="G52" s="16"/>
      <c r="H52" s="4" t="s">
        <v>152</v>
      </c>
    </row>
    <row r="53" spans="1:11" x14ac:dyDescent="0.35">
      <c r="B53" t="s">
        <v>155</v>
      </c>
    </row>
    <row r="54" spans="1:11" x14ac:dyDescent="0.35">
      <c r="B54" t="s">
        <v>154</v>
      </c>
    </row>
  </sheetData>
  <mergeCells count="5">
    <mergeCell ref="A1:H1"/>
    <mergeCell ref="A2:H2"/>
    <mergeCell ref="A3:H3"/>
    <mergeCell ref="A4:H4"/>
    <mergeCell ref="A52:G52"/>
  </mergeCells>
  <phoneticPr fontId="9" type="noConversion"/>
  <conditionalFormatting sqref="H6:K51">
    <cfRule type="cellIs" dxfId="1" priority="1" operator="equal">
      <formula>"No revisado"</formula>
    </cfRule>
    <cfRule type="cellIs" dxfId="0" priority="2" operator="equal">
      <formula>"Revisado"</formula>
    </cfRule>
  </conditionalFormatting>
  <dataValidations count="1">
    <dataValidation type="list" allowBlank="1" showInputMessage="1" showErrorMessage="1" sqref="H6:H51" xr:uid="{61B26B3A-75C5-4033-B40D-8797594463F5}">
      <formula1>$B$53:$B$54</formula1>
    </dataValidation>
  </dataValidations>
  <pageMargins left="1" right="1" top="0.129999995231628" bottom="0.129999995231628" header="0.3" footer="0.3"/>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Informatica</dc:creator>
  <cp:lastModifiedBy>Juan Pablo Salazar Fernández</cp:lastModifiedBy>
  <dcterms:created xsi:type="dcterms:W3CDTF">2025-09-28T14:27:59Z</dcterms:created>
  <dcterms:modified xsi:type="dcterms:W3CDTF">2025-11-29T23:24:19Z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21.2.7.0</vt:lpwstr>
  </property>
</Properties>
</file>