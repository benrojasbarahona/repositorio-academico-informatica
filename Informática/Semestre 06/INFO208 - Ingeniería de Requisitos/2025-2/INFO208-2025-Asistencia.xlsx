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nformatica\Dropbox\Cursos UACh\2025\2025.2 - INFO208\"/>
    </mc:Choice>
  </mc:AlternateContent>
  <xr:revisionPtr revIDLastSave="0" documentId="13_ncr:1_{7EBC546A-3819-4E88-A0B9-57011382B89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1" l="1"/>
  <c r="B40" i="1" s="1"/>
  <c r="A2" i="1"/>
  <c r="C50" i="1"/>
  <c r="C49" i="1"/>
  <c r="C46" i="1"/>
  <c r="C45" i="1"/>
  <c r="C44" i="1"/>
  <c r="C43" i="1"/>
  <c r="C42" i="1"/>
  <c r="C41" i="1"/>
  <c r="C35" i="1"/>
  <c r="C34" i="1"/>
  <c r="C32" i="1"/>
  <c r="C27" i="1"/>
  <c r="C21" i="1"/>
  <c r="C20" i="1"/>
  <c r="C18" i="1"/>
  <c r="C17" i="1"/>
  <c r="C16" i="1"/>
  <c r="C10" i="1"/>
  <c r="C9" i="1"/>
  <c r="C7" i="1"/>
  <c r="C6" i="1"/>
  <c r="C48" i="1"/>
  <c r="C39" i="1"/>
  <c r="C38" i="1"/>
  <c r="C33" i="1"/>
  <c r="C31" i="1"/>
  <c r="C30" i="1"/>
  <c r="C29" i="1"/>
  <c r="C28" i="1"/>
  <c r="C25" i="1"/>
  <c r="C24" i="1"/>
  <c r="C22" i="1"/>
  <c r="C52" i="1"/>
  <c r="C51" i="1"/>
  <c r="C47" i="1"/>
  <c r="C37" i="1"/>
  <c r="C36" i="1"/>
  <c r="C26" i="1"/>
  <c r="C23" i="1"/>
  <c r="C19" i="1"/>
  <c r="C15" i="1"/>
  <c r="C14" i="1"/>
  <c r="C13" i="1"/>
  <c r="C12" i="1"/>
  <c r="C11" i="1"/>
  <c r="C8" i="1"/>
  <c r="B52" i="1" l="1"/>
  <c r="B51" i="1"/>
  <c r="B50" i="1"/>
  <c r="B49" i="1"/>
  <c r="B48" i="1"/>
  <c r="B44" i="1"/>
  <c r="B43" i="1"/>
  <c r="B42" i="1"/>
  <c r="B41" i="1"/>
  <c r="B36" i="1"/>
  <c r="B35" i="1"/>
  <c r="B34" i="1"/>
  <c r="B33" i="1"/>
  <c r="B32" i="1"/>
  <c r="B28" i="1"/>
  <c r="B27" i="1"/>
  <c r="B26" i="1"/>
  <c r="B25" i="1"/>
  <c r="B24" i="1"/>
  <c r="B20" i="1"/>
  <c r="B19" i="1"/>
  <c r="B18" i="1"/>
  <c r="B17" i="1"/>
  <c r="B16" i="1"/>
  <c r="B12" i="1"/>
  <c r="B11" i="1"/>
  <c r="B10" i="1"/>
  <c r="B9" i="1"/>
  <c r="B8" i="1"/>
  <c r="B6" i="1"/>
  <c r="B15" i="1"/>
  <c r="B13" i="1" l="1"/>
  <c r="B37" i="1"/>
  <c r="B38" i="1"/>
  <c r="B47" i="1"/>
  <c r="B46" i="1"/>
  <c r="B39" i="1"/>
  <c r="B29" i="1"/>
  <c r="B30" i="1"/>
  <c r="B7" i="1"/>
  <c r="B31" i="1"/>
  <c r="B45" i="1"/>
  <c r="B14" i="1"/>
  <c r="B23" i="1"/>
  <c r="B21" i="1"/>
  <c r="B22" i="1"/>
</calcChain>
</file>

<file path=xl/sharedStrings.xml><?xml version="1.0" encoding="utf-8"?>
<sst xmlns="http://schemas.openxmlformats.org/spreadsheetml/2006/main" count="121" uniqueCount="54">
  <si>
    <t>15:50 - 17:20</t>
  </si>
  <si>
    <t>08:10 - 09:40</t>
  </si>
  <si>
    <t>Clase</t>
  </si>
  <si>
    <t>Control</t>
  </si>
  <si>
    <t>PRESENCIAL</t>
  </si>
  <si>
    <t>AGUERO FICA JONATAN ALEXIS</t>
  </si>
  <si>
    <t>BRANA PEÑA FELIPE ANDRES</t>
  </si>
  <si>
    <t>CARLIN SARAVIA GIORGIO ENRIQUE</t>
  </si>
  <si>
    <t>CARRILLO SOTO MAYRA ANTONELLA</t>
  </si>
  <si>
    <t>CONTRERAS RAMOS FRANCISCO MANUEL</t>
  </si>
  <si>
    <t>CÓRDOVA CONCHA NICOLÁS IGNACIO</t>
  </si>
  <si>
    <t>CUEVAS CÁRDENAS IAN ALEXANDER</t>
  </si>
  <si>
    <t>CUEVAS CASTRO SEBASTIÁN ALEJANDRO</t>
  </si>
  <si>
    <t>DELGADO SALDAÑA MARCO ANTONIO</t>
  </si>
  <si>
    <t>DUQUE GUZMÁN ANTONIO ALEJANDRO</t>
  </si>
  <si>
    <t>ESPINOZA FUENZALIDA SAMANTHA LISSETTE</t>
  </si>
  <si>
    <t>ESPINOZA NÚÑEZ CRISTÓBAL FABIÁN</t>
  </si>
  <si>
    <t>ESTRADA IGOR AGUSTÍN MAURICIO ALEXANDER</t>
  </si>
  <si>
    <t>GAJARDO RAMÍREZ BASTIÁN JESÚS</t>
  </si>
  <si>
    <t>GALAZ ESANDI LUCA</t>
  </si>
  <si>
    <t>GONZÁLEZ MARÍN RODRIGO BENJAMÍN</t>
  </si>
  <si>
    <t>GONZÁLEZ MORALES BENJAMÍN ANDRÉS</t>
  </si>
  <si>
    <t>HABERT GARCÉS LUCIANA IGNACIA</t>
  </si>
  <si>
    <t>HERNÁNDEZ MIRANDA FRANCISCO LEONEL</t>
  </si>
  <si>
    <t>JAQUE LOBOS MARTÍN ANGEL IGNACIO</t>
  </si>
  <si>
    <t>JOFRÉ MONTANO SANTIAGO ANTONIO</t>
  </si>
  <si>
    <t>LARA BRIONES MARCELO ALEJANDRO</t>
  </si>
  <si>
    <t>LEAL CARRILLO ANGEL GABRIEL</t>
  </si>
  <si>
    <t>MALDONADO SANHUEZA GABRIEL ALEXIS</t>
  </si>
  <si>
    <t>MARTÍNEZ CERECEDA BENJAMÍN IGNACIO</t>
  </si>
  <si>
    <t>MARTÍNEZ HERNÁNDEZ JAVIER ALEJANDRO</t>
  </si>
  <si>
    <t>MOLINA CEVERIO NICOLÁS HERNÁN</t>
  </si>
  <si>
    <t>MONTECINOS GATICA EDUARDO JARED</t>
  </si>
  <si>
    <t>MORENO DELGADO LEONARDO DEMUEL</t>
  </si>
  <si>
    <t>OJEDA MERCADO ELÍAS IGNACIO</t>
  </si>
  <si>
    <t>ORTIZ PINEDA ANGELO SEBASTIÁN</t>
  </si>
  <si>
    <t>ORTIZ RIQUELME CRISTIAN FERNANDO</t>
  </si>
  <si>
    <t>QUINTREL POBLETE AMARU ANDRÉS</t>
  </si>
  <si>
    <t>REYES JARAMILLO FELIPE AGUSTÍN ALEJANDRO</t>
  </si>
  <si>
    <t>ROJAS BARAHONA BENJAMÍN BEN</t>
  </si>
  <si>
    <t>ROJAS SOTO MARCELO SEBASTIÁN</t>
  </si>
  <si>
    <t>RUPAILAF QUEZADA ALEN ORLANDO</t>
  </si>
  <si>
    <t>SEGUEL BRAVO ANDRÉS ESTEBAN</t>
  </si>
  <si>
    <t>SILVA MENA JOSÉ CRISTÓBAL</t>
  </si>
  <si>
    <t>SKILLMANN LÓPEZ CRISTÓBAL ALONSO</t>
  </si>
  <si>
    <t>SOTO LOMBOY MATÍAS</t>
  </si>
  <si>
    <t>SOTO VERGARA DIEGO RONALDO HERMES</t>
  </si>
  <si>
    <t>TOLEDO VARELA MATÍAS IGNACIO</t>
  </si>
  <si>
    <t>URIBE ANDRADE BENJAMÍN ALONSO</t>
  </si>
  <si>
    <t>VEAS HUEQUEMÁN CRISTÓBAL FELIPE</t>
  </si>
  <si>
    <t>VERA QUIJÓN LORENZO VICENTE</t>
  </si>
  <si>
    <t>VERGARA NOVOA GONZALO FERNANDO</t>
  </si>
  <si>
    <t>Total General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</si>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</sst>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left" vertical="center" readingOrder="1"/>
    </xf>
    <xf numFmtId="164" fontId="1" fillId="2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9" fontId="1" fillId="3" borderId="1" xfId="1" applyFont="1" applyFill="1" applyBorder="1" applyAlignment="1">
      <alignment horizontal="right" vertical="center" readingOrder="1"/>
    </xf>
    <xf numFmtId="0" fontId="1" fillId="2" borderId="1" xfId="0" applyNumberFormat="1" applyFont="1" applyFill="1" applyBorder="1" applyAlignment="1">
      <alignment horizontal="left" vertical="center" readingOrder="1"/>
    </xf>
  </cellXfs>
  <cellStyles count="2">
    <cellStyle name="Normal" xfId="0" builtinId="0"/>
    <cellStyle name="Porcentaje" xfId="1" builtinId="5"/>
  </cellStyles>
  <dxfs count="3"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53"/>
  <sheetViews>
    <sheetView tabSelected="1" zoomScale="148" zoomScaleNormal="148" workbookViewId="0">
      <pane xSplit="1" ySplit="5" topLeftCell="B27" activePane="bottomRight" state="frozen"/>
      <selection pane="topRight" activeCell="B1" sqref="B1"/>
      <selection pane="bottomLeft" activeCell="A7" sqref="A7"/>
      <selection pane="bottomRight" activeCell="C41" sqref="C41"/>
    </sheetView>
  </sheetViews>
  <sheetFormatPr baseColWidth="10" defaultRowHeight="14.5" x14ac:dyDescent="0.35"/>
  <cols>
    <col min="1" max="1" width="36.7265625" customWidth="1"/>
    <col min="2" max="2" width="4.7265625" style="5" bestFit="1" customWidth="1"/>
    <col min="3" max="3" width="7.1796875" style="4" bestFit="1" customWidth="1"/>
    <col min="4" max="27" width="11.7265625" customWidth="1"/>
  </cols>
  <sheetData>
    <row r="1" spans="1:27" ht="15" customHeight="1" x14ac:dyDescent="0.35">
      <c r="C1" s="4" t="s">
        <v>53</v>
      </c>
      <c r="D1" s="6">
        <v>2025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 customHeight="1" x14ac:dyDescent="0.35">
      <c r="A2" s="4">
        <f>COUNT(D2:AA2)+3</f>
        <v>27</v>
      </c>
      <c r="D2" s="2">
        <v>45874</v>
      </c>
      <c r="E2" s="2">
        <v>45876</v>
      </c>
      <c r="F2" s="2">
        <v>45889</v>
      </c>
      <c r="G2" s="2">
        <v>45894</v>
      </c>
      <c r="H2" s="2">
        <v>45896</v>
      </c>
      <c r="I2" s="2">
        <v>45901</v>
      </c>
      <c r="J2" s="2">
        <v>45903</v>
      </c>
      <c r="K2" s="2">
        <v>45910</v>
      </c>
      <c r="L2" s="2">
        <v>45915</v>
      </c>
      <c r="M2" s="2">
        <v>45917</v>
      </c>
      <c r="N2" s="2">
        <v>45922</v>
      </c>
      <c r="O2" s="2">
        <v>45929</v>
      </c>
      <c r="P2" s="2">
        <v>45931</v>
      </c>
      <c r="Q2" s="2">
        <v>45936</v>
      </c>
      <c r="R2" s="2">
        <v>45938</v>
      </c>
      <c r="S2" s="2">
        <v>45950</v>
      </c>
      <c r="T2" s="2">
        <v>45957</v>
      </c>
      <c r="U2" s="2">
        <v>45959</v>
      </c>
      <c r="V2" s="2">
        <v>45964</v>
      </c>
      <c r="W2" s="2">
        <v>45971</v>
      </c>
      <c r="X2" s="2">
        <v>45973</v>
      </c>
      <c r="Y2" s="2">
        <v>45978</v>
      </c>
      <c r="Z2" s="2">
        <v>45980</v>
      </c>
      <c r="AA2" s="2">
        <v>45985</v>
      </c>
    </row>
    <row r="3" spans="1:27" ht="15" customHeight="1" x14ac:dyDescent="0.35">
      <c r="D3" s="3" t="s">
        <v>0</v>
      </c>
      <c r="E3" s="3" t="s">
        <v>0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</row>
    <row r="4" spans="1:27" ht="15" customHeight="1" x14ac:dyDescent="0.35"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3</v>
      </c>
      <c r="U4" s="3" t="s">
        <v>2</v>
      </c>
      <c r="V4" s="3" t="s">
        <v>2</v>
      </c>
      <c r="W4" s="3" t="s">
        <v>2</v>
      </c>
      <c r="X4" s="3" t="s">
        <v>2</v>
      </c>
      <c r="Y4" s="3" t="s">
        <v>2</v>
      </c>
      <c r="Z4" s="3" t="s">
        <v>2</v>
      </c>
      <c r="AA4" s="3" t="s">
        <v>2</v>
      </c>
    </row>
    <row r="5" spans="1:27" ht="15" customHeight="1" x14ac:dyDescent="0.35">
      <c r="D5" s="3" t="s">
        <v>4</v>
      </c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4</v>
      </c>
      <c r="K5" s="3" t="s">
        <v>4</v>
      </c>
      <c r="L5" s="3" t="s">
        <v>4</v>
      </c>
      <c r="M5" s="3" t="s">
        <v>4</v>
      </c>
      <c r="N5" s="3" t="s">
        <v>4</v>
      </c>
      <c r="O5" s="3" t="s">
        <v>4</v>
      </c>
      <c r="P5" s="3" t="s">
        <v>4</v>
      </c>
      <c r="Q5" s="3" t="s">
        <v>4</v>
      </c>
      <c r="R5" s="3" t="s">
        <v>4</v>
      </c>
      <c r="S5" s="3" t="s">
        <v>4</v>
      </c>
      <c r="T5" s="3" t="s">
        <v>4</v>
      </c>
      <c r="U5" s="3" t="s">
        <v>4</v>
      </c>
      <c r="V5" s="3" t="s">
        <v>4</v>
      </c>
      <c r="W5" s="3" t="s">
        <v>4</v>
      </c>
      <c r="X5" s="3" t="s">
        <v>4</v>
      </c>
      <c r="Y5" s="3" t="s">
        <v>4</v>
      </c>
      <c r="Z5" s="3" t="s">
        <v>4</v>
      </c>
      <c r="AA5" s="3" t="s">
        <v>4</v>
      </c>
    </row>
    <row r="6" spans="1:27" ht="15" customHeight="1" x14ac:dyDescent="0.35">
      <c r="A6" s="3" t="s">
        <v>5</v>
      </c>
      <c r="B6" s="5">
        <f>C6/$A$2</f>
        <v>0.7407407407407407</v>
      </c>
      <c r="C6" s="4">
        <f>SUM(D6:AA6)+1+1</f>
        <v>20</v>
      </c>
      <c r="D6" s="4">
        <v>1</v>
      </c>
      <c r="E6" s="4">
        <v>1</v>
      </c>
      <c r="F6" s="4"/>
      <c r="G6" s="4">
        <v>1</v>
      </c>
      <c r="H6" s="4">
        <v>1</v>
      </c>
      <c r="I6" s="4"/>
      <c r="J6" s="4">
        <v>1</v>
      </c>
      <c r="K6" s="4"/>
      <c r="L6" s="4">
        <v>1</v>
      </c>
      <c r="M6" s="4"/>
      <c r="N6" s="4">
        <v>1</v>
      </c>
      <c r="O6" s="4">
        <v>1</v>
      </c>
      <c r="P6" s="4"/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/>
      <c r="Y6" s="4">
        <v>1</v>
      </c>
      <c r="Z6" s="4">
        <v>1</v>
      </c>
      <c r="AA6" s="4">
        <v>1</v>
      </c>
    </row>
    <row r="7" spans="1:27" ht="15" customHeight="1" x14ac:dyDescent="0.35">
      <c r="A7" s="3" t="s">
        <v>6</v>
      </c>
      <c r="B7" s="5">
        <f t="shared" ref="B7:B52" si="0">C7/$A$2</f>
        <v>0.88888888888888884</v>
      </c>
      <c r="C7" s="4">
        <f>SUM(D7:AA7)+1+1+1</f>
        <v>24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/>
      <c r="N7" s="4">
        <v>1</v>
      </c>
      <c r="O7" s="4">
        <v>1</v>
      </c>
      <c r="P7" s="4"/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/>
      <c r="Z7" s="4">
        <v>1</v>
      </c>
      <c r="AA7" s="4">
        <v>1</v>
      </c>
    </row>
    <row r="8" spans="1:27" ht="15" customHeight="1" x14ac:dyDescent="0.35">
      <c r="A8" s="3" t="s">
        <v>7</v>
      </c>
      <c r="B8" s="5">
        <f t="shared" si="0"/>
        <v>0.92592592592592593</v>
      </c>
      <c r="C8" s="4">
        <f t="shared" ref="C8:C52" si="1">SUM(D8:AA8)+1</f>
        <v>25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" customHeight="1" x14ac:dyDescent="0.35">
      <c r="A9" s="3" t="s">
        <v>8</v>
      </c>
      <c r="B9" s="5">
        <f t="shared" si="0"/>
        <v>1</v>
      </c>
      <c r="C9" s="4">
        <f>SUM(D9:AA9)+1+1+1</f>
        <v>27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" customHeight="1" x14ac:dyDescent="0.35">
      <c r="A10" s="3" t="s">
        <v>9</v>
      </c>
      <c r="B10" s="5">
        <f t="shared" si="0"/>
        <v>1</v>
      </c>
      <c r="C10" s="4">
        <f>SUM(D10:AA10)+1+1+1</f>
        <v>27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" customHeight="1" x14ac:dyDescent="0.35">
      <c r="A11" s="3" t="s">
        <v>10</v>
      </c>
      <c r="B11" s="5">
        <f t="shared" si="0"/>
        <v>0.70370370370370372</v>
      </c>
      <c r="C11" s="4">
        <f t="shared" si="1"/>
        <v>19</v>
      </c>
      <c r="D11" s="4">
        <v>1</v>
      </c>
      <c r="E11" s="4">
        <v>1</v>
      </c>
      <c r="F11" s="4"/>
      <c r="G11" s="4">
        <v>1</v>
      </c>
      <c r="H11" s="4"/>
      <c r="I11" s="4">
        <v>1</v>
      </c>
      <c r="J11" s="4">
        <v>1</v>
      </c>
      <c r="K11" s="4">
        <v>1</v>
      </c>
      <c r="L11" s="4"/>
      <c r="M11" s="4">
        <v>1</v>
      </c>
      <c r="N11" s="4">
        <v>1</v>
      </c>
      <c r="O11" s="4">
        <v>1</v>
      </c>
      <c r="P11" s="4"/>
      <c r="Q11" s="4">
        <v>1</v>
      </c>
      <c r="R11" s="4">
        <v>1</v>
      </c>
      <c r="S11" s="4"/>
      <c r="T11" s="4">
        <v>1</v>
      </c>
      <c r="U11" s="4">
        <v>1</v>
      </c>
      <c r="V11" s="4">
        <v>1</v>
      </c>
      <c r="W11" s="4">
        <v>1</v>
      </c>
      <c r="X11" s="4"/>
      <c r="Y11" s="4">
        <v>1</v>
      </c>
      <c r="Z11" s="4">
        <v>1</v>
      </c>
      <c r="AA11" s="4">
        <v>1</v>
      </c>
    </row>
    <row r="12" spans="1:27" ht="15" customHeight="1" x14ac:dyDescent="0.35">
      <c r="A12" s="3" t="s">
        <v>11</v>
      </c>
      <c r="B12" s="5">
        <f t="shared" si="0"/>
        <v>0.29629629629629628</v>
      </c>
      <c r="C12" s="4">
        <f t="shared" si="1"/>
        <v>8</v>
      </c>
      <c r="D12" s="4"/>
      <c r="E12" s="4"/>
      <c r="F12" s="4">
        <v>1</v>
      </c>
      <c r="G12" s="4"/>
      <c r="H12" s="4">
        <v>1</v>
      </c>
      <c r="I12" s="4">
        <v>1</v>
      </c>
      <c r="J12" s="4">
        <v>1</v>
      </c>
      <c r="K12" s="4"/>
      <c r="L12" s="4"/>
      <c r="M12" s="4"/>
      <c r="N12" s="4">
        <v>0</v>
      </c>
      <c r="O12" s="4"/>
      <c r="P12" s="4">
        <v>1</v>
      </c>
      <c r="Q12" s="4"/>
      <c r="R12" s="4"/>
      <c r="S12" s="4"/>
      <c r="T12" s="4">
        <v>1</v>
      </c>
      <c r="U12" s="4">
        <v>1</v>
      </c>
      <c r="V12" s="4"/>
      <c r="W12" s="4"/>
      <c r="X12" s="4"/>
      <c r="Y12" s="4"/>
      <c r="Z12" s="4"/>
      <c r="AA12" s="4"/>
    </row>
    <row r="13" spans="1:27" ht="15" customHeight="1" x14ac:dyDescent="0.35">
      <c r="A13" s="3" t="s">
        <v>12</v>
      </c>
      <c r="B13" s="5">
        <f t="shared" si="0"/>
        <v>0.62962962962962965</v>
      </c>
      <c r="C13" s="4">
        <f t="shared" si="1"/>
        <v>17</v>
      </c>
      <c r="D13" s="4">
        <v>1</v>
      </c>
      <c r="E13" s="4">
        <v>1</v>
      </c>
      <c r="F13" s="4">
        <v>1</v>
      </c>
      <c r="G13" s="4">
        <v>1</v>
      </c>
      <c r="H13" s="4"/>
      <c r="I13" s="4"/>
      <c r="J13" s="4"/>
      <c r="K13" s="4">
        <v>1</v>
      </c>
      <c r="L13" s="4"/>
      <c r="M13" s="4">
        <v>1</v>
      </c>
      <c r="N13" s="4">
        <v>1</v>
      </c>
      <c r="O13" s="4">
        <v>1</v>
      </c>
      <c r="P13" s="4"/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/>
      <c r="W13" s="4">
        <v>1</v>
      </c>
      <c r="X13" s="4"/>
      <c r="Y13" s="4">
        <v>1</v>
      </c>
      <c r="Z13" s="4"/>
      <c r="AA13" s="4">
        <v>1</v>
      </c>
    </row>
    <row r="14" spans="1:27" ht="15" customHeight="1" x14ac:dyDescent="0.35">
      <c r="A14" s="3" t="s">
        <v>13</v>
      </c>
      <c r="B14" s="5">
        <f t="shared" si="0"/>
        <v>0.48148148148148145</v>
      </c>
      <c r="C14" s="4">
        <f t="shared" si="1"/>
        <v>13</v>
      </c>
      <c r="D14" s="4"/>
      <c r="E14" s="4">
        <v>1</v>
      </c>
      <c r="F14" s="4"/>
      <c r="G14" s="4">
        <v>1</v>
      </c>
      <c r="H14" s="4"/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0</v>
      </c>
      <c r="O14" s="4"/>
      <c r="P14" s="4"/>
      <c r="Q14" s="4">
        <v>1</v>
      </c>
      <c r="R14" s="4">
        <v>1</v>
      </c>
      <c r="S14" s="4"/>
      <c r="T14" s="4"/>
      <c r="U14" s="4">
        <v>1</v>
      </c>
      <c r="V14" s="4">
        <v>1</v>
      </c>
      <c r="W14" s="4"/>
      <c r="X14" s="4"/>
      <c r="Y14" s="4"/>
      <c r="Z14" s="4"/>
      <c r="AA14" s="4">
        <v>1</v>
      </c>
    </row>
    <row r="15" spans="1:27" ht="15" customHeight="1" x14ac:dyDescent="0.35">
      <c r="A15" s="3" t="s">
        <v>14</v>
      </c>
      <c r="B15" s="5">
        <f t="shared" si="0"/>
        <v>0.22222222222222221</v>
      </c>
      <c r="C15" s="4">
        <f t="shared" si="1"/>
        <v>6</v>
      </c>
      <c r="D15" s="4">
        <v>1</v>
      </c>
      <c r="E15" s="4">
        <v>1</v>
      </c>
      <c r="F15" s="4"/>
      <c r="G15" s="4"/>
      <c r="H15" s="4">
        <v>1</v>
      </c>
      <c r="I15" s="4"/>
      <c r="J15" s="4"/>
      <c r="K15" s="4"/>
      <c r="L15" s="4"/>
      <c r="M15" s="4"/>
      <c r="N15" s="4">
        <v>0</v>
      </c>
      <c r="O15" s="4"/>
      <c r="P15" s="4">
        <v>1</v>
      </c>
      <c r="Q15" s="4"/>
      <c r="R15" s="4">
        <v>1</v>
      </c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35">
      <c r="A16" s="3" t="s">
        <v>15</v>
      </c>
      <c r="B16" s="5">
        <f t="shared" si="0"/>
        <v>0.44444444444444442</v>
      </c>
      <c r="C16" s="4">
        <f>SUM(D16:AA16)+1+1</f>
        <v>12</v>
      </c>
      <c r="D16" s="4"/>
      <c r="E16" s="4"/>
      <c r="F16" s="4">
        <v>1</v>
      </c>
      <c r="G16" s="4">
        <v>1</v>
      </c>
      <c r="H16" s="4">
        <v>1</v>
      </c>
      <c r="I16" s="4"/>
      <c r="J16" s="4"/>
      <c r="K16" s="4">
        <v>1</v>
      </c>
      <c r="L16" s="4">
        <v>1</v>
      </c>
      <c r="M16" s="4">
        <v>1</v>
      </c>
      <c r="N16" s="4">
        <v>1</v>
      </c>
      <c r="O16" s="4"/>
      <c r="P16" s="4"/>
      <c r="Q16" s="4">
        <v>1</v>
      </c>
      <c r="R16" s="4"/>
      <c r="S16" s="4"/>
      <c r="T16" s="4">
        <v>1</v>
      </c>
      <c r="U16" s="4">
        <v>1</v>
      </c>
      <c r="V16" s="4"/>
      <c r="W16" s="4"/>
      <c r="X16" s="4"/>
      <c r="Y16" s="4"/>
      <c r="Z16" s="4"/>
      <c r="AA16" s="4"/>
    </row>
    <row r="17" spans="1:27" ht="15" customHeight="1" x14ac:dyDescent="0.35">
      <c r="A17" s="3" t="s">
        <v>16</v>
      </c>
      <c r="B17" s="5">
        <f t="shared" si="0"/>
        <v>0.7407407407407407</v>
      </c>
      <c r="C17" s="4">
        <f>SUM(D17:AA17)+1+1+1</f>
        <v>20</v>
      </c>
      <c r="D17" s="4"/>
      <c r="E17" s="4"/>
      <c r="F17" s="4">
        <v>1</v>
      </c>
      <c r="G17" s="4">
        <v>1</v>
      </c>
      <c r="H17" s="4">
        <v>1</v>
      </c>
      <c r="I17" s="4"/>
      <c r="J17" s="4"/>
      <c r="K17" s="4">
        <v>1</v>
      </c>
      <c r="L17" s="4"/>
      <c r="M17" s="4"/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/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" customHeight="1" x14ac:dyDescent="0.35">
      <c r="A18" s="3" t="s">
        <v>17</v>
      </c>
      <c r="B18" s="5">
        <f t="shared" si="0"/>
        <v>0.96296296296296291</v>
      </c>
      <c r="C18" s="4">
        <f>SUM(D18:AA18)+1+1+1</f>
        <v>26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/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" customHeight="1" x14ac:dyDescent="0.35">
      <c r="A19" s="3" t="s">
        <v>18</v>
      </c>
      <c r="B19" s="5">
        <f t="shared" si="0"/>
        <v>0.70370370370370372</v>
      </c>
      <c r="C19" s="4">
        <f t="shared" si="1"/>
        <v>19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/>
      <c r="L19" s="4">
        <v>1</v>
      </c>
      <c r="M19" s="4"/>
      <c r="N19" s="4">
        <v>1</v>
      </c>
      <c r="O19" s="4">
        <v>1</v>
      </c>
      <c r="P19" s="4">
        <v>1</v>
      </c>
      <c r="Q19" s="4"/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/>
      <c r="Y19" s="4"/>
      <c r="Z19" s="4"/>
      <c r="AA19" s="4">
        <v>1</v>
      </c>
    </row>
    <row r="20" spans="1:27" ht="15" customHeight="1" x14ac:dyDescent="0.35">
      <c r="A20" s="3" t="s">
        <v>19</v>
      </c>
      <c r="B20" s="5">
        <f t="shared" si="0"/>
        <v>0.44444444444444442</v>
      </c>
      <c r="C20" s="4">
        <f>SUM(D20:AA20)+1+1</f>
        <v>12</v>
      </c>
      <c r="D20" s="4"/>
      <c r="E20" s="4"/>
      <c r="F20" s="4"/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/>
      <c r="M20" s="4"/>
      <c r="N20" s="4">
        <v>0</v>
      </c>
      <c r="O20" s="4">
        <v>1</v>
      </c>
      <c r="P20" s="4">
        <v>1</v>
      </c>
      <c r="Q20" s="4"/>
      <c r="R20" s="4">
        <v>1</v>
      </c>
      <c r="S20" s="4"/>
      <c r="T20" s="4">
        <v>1</v>
      </c>
      <c r="U20" s="4"/>
      <c r="V20" s="4"/>
      <c r="W20" s="4"/>
      <c r="X20" s="4"/>
      <c r="Y20" s="4">
        <v>1</v>
      </c>
      <c r="Z20" s="4"/>
      <c r="AA20" s="4"/>
    </row>
    <row r="21" spans="1:27" ht="15" customHeight="1" x14ac:dyDescent="0.35">
      <c r="A21" s="3" t="s">
        <v>20</v>
      </c>
      <c r="B21" s="5">
        <f t="shared" si="0"/>
        <v>0.22222222222222221</v>
      </c>
      <c r="C21" s="4">
        <f>SUM(D21:AA21)+1+1</f>
        <v>6</v>
      </c>
      <c r="D21" s="4">
        <v>1</v>
      </c>
      <c r="E21" s="4"/>
      <c r="F21" s="4"/>
      <c r="G21" s="4"/>
      <c r="H21" s="4">
        <v>1</v>
      </c>
      <c r="I21" s="4"/>
      <c r="J21" s="4"/>
      <c r="K21" s="4"/>
      <c r="L21" s="4"/>
      <c r="M21" s="4"/>
      <c r="N21" s="4">
        <v>0</v>
      </c>
      <c r="O21" s="4"/>
      <c r="P21" s="4"/>
      <c r="Q21" s="4"/>
      <c r="R21" s="4">
        <v>1</v>
      </c>
      <c r="S21" s="4"/>
      <c r="T21" s="4"/>
      <c r="U21" s="4"/>
      <c r="V21" s="4"/>
      <c r="W21" s="4"/>
      <c r="X21" s="4">
        <v>1</v>
      </c>
      <c r="Y21" s="4"/>
      <c r="Z21" s="4"/>
      <c r="AA21" s="4"/>
    </row>
    <row r="22" spans="1:27" ht="15" customHeight="1" x14ac:dyDescent="0.35">
      <c r="A22" s="3" t="s">
        <v>21</v>
      </c>
      <c r="B22" s="5">
        <f t="shared" si="0"/>
        <v>0.48148148148148145</v>
      </c>
      <c r="C22" s="4">
        <f>SUM(D22:AA22)+1+1</f>
        <v>13</v>
      </c>
      <c r="D22" s="4"/>
      <c r="E22" s="4"/>
      <c r="F22" s="4">
        <v>1</v>
      </c>
      <c r="G22" s="4"/>
      <c r="H22" s="4">
        <v>1</v>
      </c>
      <c r="I22" s="4">
        <v>1</v>
      </c>
      <c r="J22" s="4">
        <v>1</v>
      </c>
      <c r="K22" s="4">
        <v>1</v>
      </c>
      <c r="L22" s="4"/>
      <c r="M22" s="4"/>
      <c r="N22" s="4">
        <v>0</v>
      </c>
      <c r="O22" s="4">
        <v>1</v>
      </c>
      <c r="P22" s="4"/>
      <c r="Q22" s="4">
        <v>1</v>
      </c>
      <c r="R22" s="4"/>
      <c r="S22" s="4">
        <v>1</v>
      </c>
      <c r="T22" s="4">
        <v>1</v>
      </c>
      <c r="U22" s="4"/>
      <c r="V22" s="4">
        <v>1</v>
      </c>
      <c r="W22" s="4"/>
      <c r="X22" s="4"/>
      <c r="Y22" s="4">
        <v>1</v>
      </c>
      <c r="Z22" s="4"/>
      <c r="AA22" s="4"/>
    </row>
    <row r="23" spans="1:27" ht="15" customHeight="1" x14ac:dyDescent="0.35">
      <c r="A23" s="3" t="s">
        <v>22</v>
      </c>
      <c r="B23" s="5">
        <f t="shared" si="0"/>
        <v>0.37037037037037035</v>
      </c>
      <c r="C23" s="4">
        <f t="shared" si="1"/>
        <v>10</v>
      </c>
      <c r="D23" s="4"/>
      <c r="E23" s="4"/>
      <c r="F23" s="4"/>
      <c r="G23" s="4">
        <v>1</v>
      </c>
      <c r="H23" s="4"/>
      <c r="I23" s="4">
        <v>1</v>
      </c>
      <c r="J23" s="4"/>
      <c r="K23" s="4">
        <v>1</v>
      </c>
      <c r="L23" s="4"/>
      <c r="M23" s="4">
        <v>1</v>
      </c>
      <c r="N23" s="4">
        <v>0</v>
      </c>
      <c r="O23" s="4"/>
      <c r="P23" s="4">
        <v>1</v>
      </c>
      <c r="Q23" s="4"/>
      <c r="R23" s="4"/>
      <c r="S23" s="4">
        <v>1</v>
      </c>
      <c r="T23" s="4"/>
      <c r="U23" s="4">
        <v>1</v>
      </c>
      <c r="V23" s="4"/>
      <c r="W23" s="4">
        <v>1</v>
      </c>
      <c r="X23" s="4">
        <v>1</v>
      </c>
      <c r="Y23" s="4"/>
      <c r="Z23" s="4"/>
      <c r="AA23" s="4"/>
    </row>
    <row r="24" spans="1:27" ht="15" customHeight="1" x14ac:dyDescent="0.35">
      <c r="A24" s="3" t="s">
        <v>23</v>
      </c>
      <c r="B24" s="5">
        <f t="shared" si="0"/>
        <v>0.92592592592592593</v>
      </c>
      <c r="C24" s="4">
        <f>SUM(D24:AA24)+1+1</f>
        <v>25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/>
      <c r="Z24" s="4">
        <v>1</v>
      </c>
      <c r="AA24" s="4">
        <v>1</v>
      </c>
    </row>
    <row r="25" spans="1:27" ht="15" customHeight="1" x14ac:dyDescent="0.35">
      <c r="A25" s="3" t="s">
        <v>24</v>
      </c>
      <c r="B25" s="5">
        <f t="shared" si="0"/>
        <v>0.96296296296296291</v>
      </c>
      <c r="C25" s="4">
        <f>SUM(D25:AA25)+1+1</f>
        <v>26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" customHeight="1" x14ac:dyDescent="0.35">
      <c r="A26" s="3" t="s">
        <v>25</v>
      </c>
      <c r="B26" s="5">
        <f t="shared" si="0"/>
        <v>0.88888888888888884</v>
      </c>
      <c r="C26" s="4">
        <f t="shared" si="1"/>
        <v>24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/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" customHeight="1" x14ac:dyDescent="0.35">
      <c r="A27" s="3" t="s">
        <v>26</v>
      </c>
      <c r="B27" s="5">
        <f t="shared" si="0"/>
        <v>0.48148148148148145</v>
      </c>
      <c r="C27" s="4">
        <f>SUM(D27:AA27)+1+1+1</f>
        <v>13</v>
      </c>
      <c r="D27" s="4">
        <v>1</v>
      </c>
      <c r="E27" s="4">
        <v>1</v>
      </c>
      <c r="F27" s="4">
        <v>1</v>
      </c>
      <c r="G27" s="4"/>
      <c r="H27" s="4">
        <v>1</v>
      </c>
      <c r="I27" s="4">
        <v>1</v>
      </c>
      <c r="J27" s="4"/>
      <c r="K27" s="4">
        <v>1</v>
      </c>
      <c r="L27" s="4"/>
      <c r="M27" s="4"/>
      <c r="N27" s="4">
        <v>0</v>
      </c>
      <c r="O27" s="4">
        <v>1</v>
      </c>
      <c r="P27" s="4"/>
      <c r="Q27" s="4"/>
      <c r="R27" s="4">
        <v>1</v>
      </c>
      <c r="S27" s="4"/>
      <c r="T27" s="4">
        <v>1</v>
      </c>
      <c r="U27" s="4">
        <v>1</v>
      </c>
      <c r="V27" s="4"/>
      <c r="W27" s="4"/>
      <c r="X27" s="4"/>
      <c r="Y27" s="4"/>
      <c r="Z27" s="4"/>
      <c r="AA27" s="4"/>
    </row>
    <row r="28" spans="1:27" ht="15" customHeight="1" x14ac:dyDescent="0.35">
      <c r="A28" s="3" t="s">
        <v>27</v>
      </c>
      <c r="B28" s="5">
        <f t="shared" si="0"/>
        <v>0.81481481481481477</v>
      </c>
      <c r="C28" s="4">
        <f t="shared" ref="C28:C33" si="2">SUM(D28:AA28)+1+1</f>
        <v>22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/>
      <c r="N28" s="4">
        <v>1</v>
      </c>
      <c r="O28" s="4">
        <v>1</v>
      </c>
      <c r="P28" s="4">
        <v>1</v>
      </c>
      <c r="Q28" s="4">
        <v>1</v>
      </c>
      <c r="R28" s="4"/>
      <c r="S28" s="4">
        <v>1</v>
      </c>
      <c r="T28" s="4">
        <v>1</v>
      </c>
      <c r="U28" s="4">
        <v>1</v>
      </c>
      <c r="V28" s="4"/>
      <c r="W28" s="4">
        <v>1</v>
      </c>
      <c r="X28" s="4">
        <v>1</v>
      </c>
      <c r="Y28" s="4">
        <v>1</v>
      </c>
      <c r="Z28" s="4"/>
      <c r="AA28" s="4">
        <v>1</v>
      </c>
    </row>
    <row r="29" spans="1:27" ht="15" customHeight="1" x14ac:dyDescent="0.35">
      <c r="A29" s="3" t="s">
        <v>28</v>
      </c>
      <c r="B29" s="5">
        <f t="shared" si="0"/>
        <v>0.29629629629629628</v>
      </c>
      <c r="C29" s="4">
        <f t="shared" si="2"/>
        <v>8</v>
      </c>
      <c r="D29" s="4"/>
      <c r="E29" s="4">
        <v>1</v>
      </c>
      <c r="F29" s="4"/>
      <c r="G29" s="4">
        <v>1</v>
      </c>
      <c r="H29" s="4">
        <v>1</v>
      </c>
      <c r="I29" s="4"/>
      <c r="J29" s="4"/>
      <c r="K29" s="4"/>
      <c r="L29" s="4">
        <v>1</v>
      </c>
      <c r="M29" s="4"/>
      <c r="N29" s="4">
        <v>0</v>
      </c>
      <c r="O29" s="4">
        <v>1</v>
      </c>
      <c r="P29" s="4"/>
      <c r="Q29" s="4">
        <v>1</v>
      </c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 x14ac:dyDescent="0.35">
      <c r="A30" s="3" t="s">
        <v>29</v>
      </c>
      <c r="B30" s="5">
        <f t="shared" si="0"/>
        <v>0.25925925925925924</v>
      </c>
      <c r="C30" s="4">
        <f t="shared" si="2"/>
        <v>7</v>
      </c>
      <c r="D30" s="4"/>
      <c r="E30" s="4">
        <v>1</v>
      </c>
      <c r="F30" s="4"/>
      <c r="G30" s="4"/>
      <c r="H30" s="4">
        <v>1</v>
      </c>
      <c r="I30" s="4"/>
      <c r="J30" s="4"/>
      <c r="K30" s="4"/>
      <c r="L30" s="4">
        <v>1</v>
      </c>
      <c r="M30" s="4"/>
      <c r="N30" s="4">
        <v>0</v>
      </c>
      <c r="O30" s="4"/>
      <c r="P30" s="4"/>
      <c r="Q30" s="4">
        <v>1</v>
      </c>
      <c r="R30" s="4"/>
      <c r="S30" s="4"/>
      <c r="T30" s="4">
        <v>1</v>
      </c>
      <c r="U30" s="4"/>
      <c r="V30" s="4"/>
      <c r="W30" s="4"/>
      <c r="X30" s="4"/>
      <c r="Y30" s="4"/>
      <c r="Z30" s="4"/>
      <c r="AA30" s="4"/>
    </row>
    <row r="31" spans="1:27" ht="15" customHeight="1" x14ac:dyDescent="0.35">
      <c r="A31" s="3" t="s">
        <v>30</v>
      </c>
      <c r="B31" s="5">
        <f t="shared" si="0"/>
        <v>0.77777777777777779</v>
      </c>
      <c r="C31" s="4">
        <f t="shared" si="2"/>
        <v>21</v>
      </c>
      <c r="D31" s="4"/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/>
      <c r="L31" s="4"/>
      <c r="M31" s="4">
        <v>1</v>
      </c>
      <c r="N31" s="4">
        <v>0</v>
      </c>
      <c r="O31" s="4">
        <v>1</v>
      </c>
      <c r="P31" s="4">
        <v>1</v>
      </c>
      <c r="Q31" s="4">
        <v>1</v>
      </c>
      <c r="R31" s="4">
        <v>1</v>
      </c>
      <c r="S31" s="4"/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" customHeight="1" x14ac:dyDescent="0.35">
      <c r="A32" s="3" t="s">
        <v>31</v>
      </c>
      <c r="B32" s="5">
        <f t="shared" si="0"/>
        <v>0.85185185185185186</v>
      </c>
      <c r="C32" s="4">
        <f t="shared" si="2"/>
        <v>23</v>
      </c>
      <c r="D32" s="4"/>
      <c r="E32" s="4">
        <v>1</v>
      </c>
      <c r="F32" s="4">
        <v>1</v>
      </c>
      <c r="G32" s="4"/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/>
      <c r="X32" s="4">
        <v>1</v>
      </c>
      <c r="Y32" s="4">
        <v>1</v>
      </c>
      <c r="Z32" s="4">
        <v>1</v>
      </c>
      <c r="AA32" s="4">
        <v>1</v>
      </c>
    </row>
    <row r="33" spans="1:27" ht="15" customHeight="1" x14ac:dyDescent="0.35">
      <c r="A33" s="3" t="s">
        <v>32</v>
      </c>
      <c r="B33" s="5">
        <f t="shared" si="0"/>
        <v>0.62962962962962965</v>
      </c>
      <c r="C33" s="4">
        <f t="shared" si="2"/>
        <v>17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/>
      <c r="K33" s="4">
        <v>1</v>
      </c>
      <c r="L33" s="4">
        <v>1</v>
      </c>
      <c r="M33" s="4"/>
      <c r="N33" s="4">
        <v>1</v>
      </c>
      <c r="O33" s="4">
        <v>1</v>
      </c>
      <c r="P33" s="4"/>
      <c r="Q33" s="4"/>
      <c r="R33" s="4"/>
      <c r="S33" s="4">
        <v>1</v>
      </c>
      <c r="T33" s="4">
        <v>1</v>
      </c>
      <c r="U33" s="4"/>
      <c r="V33" s="4">
        <v>1</v>
      </c>
      <c r="W33" s="4">
        <v>1</v>
      </c>
      <c r="X33" s="4"/>
      <c r="Y33" s="4"/>
      <c r="Z33" s="4"/>
      <c r="AA33" s="4">
        <v>1</v>
      </c>
    </row>
    <row r="34" spans="1:27" ht="15" customHeight="1" x14ac:dyDescent="0.35">
      <c r="A34" s="3" t="s">
        <v>33</v>
      </c>
      <c r="B34" s="5">
        <f t="shared" si="0"/>
        <v>0.88888888888888884</v>
      </c>
      <c r="C34" s="4">
        <f>SUM(D34:AA34)+1+1+1</f>
        <v>24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/>
      <c r="R34" s="4">
        <v>1</v>
      </c>
      <c r="S34" s="4">
        <v>1</v>
      </c>
      <c r="T34" s="4">
        <v>1</v>
      </c>
      <c r="U34" s="4"/>
      <c r="V34" s="4"/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:27" ht="15" customHeight="1" x14ac:dyDescent="0.35">
      <c r="A35" s="3" t="s">
        <v>34</v>
      </c>
      <c r="B35" s="5">
        <f t="shared" si="0"/>
        <v>0.88888888888888884</v>
      </c>
      <c r="C35" s="4">
        <f>SUM(D35:AA35)+1+1+1</f>
        <v>24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/>
      <c r="N35" s="4">
        <v>1</v>
      </c>
      <c r="O35" s="4">
        <v>1</v>
      </c>
      <c r="P35" s="4">
        <v>1</v>
      </c>
      <c r="Q35" s="4"/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/>
      <c r="Y35" s="4">
        <v>1</v>
      </c>
      <c r="Z35" s="4">
        <v>1</v>
      </c>
      <c r="AA35" s="4">
        <v>1</v>
      </c>
    </row>
    <row r="36" spans="1:27" ht="15" customHeight="1" x14ac:dyDescent="0.35">
      <c r="A36" s="3" t="s">
        <v>35</v>
      </c>
      <c r="B36" s="5">
        <f t="shared" si="0"/>
        <v>0.33333333333333331</v>
      </c>
      <c r="C36" s="4">
        <f t="shared" si="1"/>
        <v>9</v>
      </c>
      <c r="D36" s="4"/>
      <c r="E36" s="4"/>
      <c r="F36" s="4">
        <v>1</v>
      </c>
      <c r="G36" s="4"/>
      <c r="H36" s="4">
        <v>1</v>
      </c>
      <c r="I36" s="4"/>
      <c r="J36" s="4">
        <v>1</v>
      </c>
      <c r="K36" s="4">
        <v>1</v>
      </c>
      <c r="L36" s="4"/>
      <c r="M36" s="4">
        <v>1</v>
      </c>
      <c r="N36" s="4">
        <v>0</v>
      </c>
      <c r="O36" s="4"/>
      <c r="P36" s="4"/>
      <c r="Q36" s="4"/>
      <c r="R36" s="4">
        <v>1</v>
      </c>
      <c r="S36" s="4"/>
      <c r="T36" s="4">
        <v>1</v>
      </c>
      <c r="U36" s="4">
        <v>1</v>
      </c>
      <c r="V36" s="4"/>
      <c r="W36" s="4"/>
      <c r="X36" s="4"/>
      <c r="Y36" s="4"/>
      <c r="Z36" s="4"/>
      <c r="AA36" s="4"/>
    </row>
    <row r="37" spans="1:27" ht="15" customHeight="1" x14ac:dyDescent="0.35">
      <c r="A37" s="3" t="s">
        <v>36</v>
      </c>
      <c r="B37" s="5">
        <f t="shared" si="0"/>
        <v>0.62962962962962965</v>
      </c>
      <c r="C37" s="4">
        <f t="shared" si="1"/>
        <v>17</v>
      </c>
      <c r="D37" s="4"/>
      <c r="E37" s="4"/>
      <c r="F37" s="4"/>
      <c r="G37" s="4"/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/>
      <c r="Q37" s="4">
        <v>1</v>
      </c>
      <c r="R37" s="4">
        <v>1</v>
      </c>
      <c r="S37" s="4"/>
      <c r="T37" s="4">
        <v>1</v>
      </c>
      <c r="U37" s="4">
        <v>1</v>
      </c>
      <c r="V37" s="4"/>
      <c r="W37" s="4">
        <v>1</v>
      </c>
      <c r="X37" s="4"/>
      <c r="Y37" s="4">
        <v>1</v>
      </c>
      <c r="Z37" s="4">
        <v>1</v>
      </c>
      <c r="AA37" s="4">
        <v>1</v>
      </c>
    </row>
    <row r="38" spans="1:27" ht="15" customHeight="1" x14ac:dyDescent="0.35">
      <c r="A38" s="3" t="s">
        <v>37</v>
      </c>
      <c r="B38" s="5">
        <f t="shared" si="0"/>
        <v>0.22222222222222221</v>
      </c>
      <c r="C38" s="4">
        <f>SUM(D38:AA38)+1+1</f>
        <v>6</v>
      </c>
      <c r="D38" s="4"/>
      <c r="E38" s="4"/>
      <c r="F38" s="4"/>
      <c r="G38" s="4"/>
      <c r="H38" s="4"/>
      <c r="I38" s="4">
        <v>1</v>
      </c>
      <c r="J38" s="4"/>
      <c r="K38" s="4">
        <v>1</v>
      </c>
      <c r="L38" s="4"/>
      <c r="M38" s="4"/>
      <c r="N38" s="4">
        <v>1</v>
      </c>
      <c r="O38" s="4">
        <v>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" customHeight="1" x14ac:dyDescent="0.35">
      <c r="A39" s="3" t="s">
        <v>38</v>
      </c>
      <c r="B39" s="5">
        <f t="shared" si="0"/>
        <v>0.92592592592592593</v>
      </c>
      <c r="C39" s="4">
        <f>SUM(D39:AA39)+1+1</f>
        <v>25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/>
      <c r="X39" s="4">
        <v>1</v>
      </c>
      <c r="Y39" s="4">
        <v>1</v>
      </c>
      <c r="Z39" s="4">
        <v>1</v>
      </c>
      <c r="AA39" s="4">
        <v>1</v>
      </c>
    </row>
    <row r="40" spans="1:27" ht="15" customHeight="1" x14ac:dyDescent="0.35">
      <c r="A40" s="3" t="s">
        <v>39</v>
      </c>
      <c r="B40" s="5">
        <f t="shared" si="0"/>
        <v>0.66666666666666663</v>
      </c>
      <c r="C40" s="4">
        <f>SUM(D40:AA40)+1+1+2</f>
        <v>18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/>
      <c r="J40" s="4"/>
      <c r="K40" s="4"/>
      <c r="L40" s="4"/>
      <c r="M40" s="4">
        <v>1</v>
      </c>
      <c r="N40" s="4">
        <v>0</v>
      </c>
      <c r="O40" s="4"/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/>
      <c r="V40" s="4"/>
      <c r="W40" s="4"/>
      <c r="X40" s="4">
        <v>1</v>
      </c>
      <c r="Y40" s="4"/>
      <c r="Z40" s="4">
        <v>1</v>
      </c>
      <c r="AA40" s="4">
        <v>1</v>
      </c>
    </row>
    <row r="41" spans="1:27" ht="15" customHeight="1" x14ac:dyDescent="0.35">
      <c r="A41" s="3" t="s">
        <v>40</v>
      </c>
      <c r="B41" s="5">
        <f t="shared" si="0"/>
        <v>0.85185185185185186</v>
      </c>
      <c r="C41" s="4">
        <f>SUM(D41:AA41)+1+1+1</f>
        <v>23</v>
      </c>
      <c r="D41" s="4">
        <v>1</v>
      </c>
      <c r="E41" s="4">
        <v>1</v>
      </c>
      <c r="F41" s="4">
        <v>1</v>
      </c>
      <c r="G41" s="4"/>
      <c r="H41" s="4">
        <v>1</v>
      </c>
      <c r="I41" s="4">
        <v>1</v>
      </c>
      <c r="J41" s="4"/>
      <c r="K41" s="4">
        <v>1</v>
      </c>
      <c r="L41" s="4">
        <v>1</v>
      </c>
      <c r="M41" s="4">
        <v>1</v>
      </c>
      <c r="N41" s="4">
        <v>1</v>
      </c>
      <c r="O41" s="4"/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/>
      <c r="Z41" s="4">
        <v>1</v>
      </c>
      <c r="AA41" s="4">
        <v>1</v>
      </c>
    </row>
    <row r="42" spans="1:27" ht="15" customHeight="1" x14ac:dyDescent="0.35">
      <c r="A42" s="3" t="s">
        <v>41</v>
      </c>
      <c r="B42" s="5">
        <f t="shared" si="0"/>
        <v>0.92592592592592593</v>
      </c>
      <c r="C42" s="4">
        <f>SUM(D42:AA42)+1+1+1</f>
        <v>25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  <c r="I42" s="4"/>
      <c r="J42" s="4">
        <v>1</v>
      </c>
      <c r="K42" s="4"/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:27" ht="15" customHeight="1" x14ac:dyDescent="0.35">
      <c r="A43" s="3" t="s">
        <v>42</v>
      </c>
      <c r="B43" s="5">
        <f t="shared" si="0"/>
        <v>0.66666666666666663</v>
      </c>
      <c r="C43" s="4">
        <f>SUM(D43:AA43)+1+1</f>
        <v>18</v>
      </c>
      <c r="D43" s="4"/>
      <c r="E43" s="4">
        <v>1</v>
      </c>
      <c r="F43" s="4">
        <v>1</v>
      </c>
      <c r="G43" s="4">
        <v>1</v>
      </c>
      <c r="H43" s="4">
        <v>1</v>
      </c>
      <c r="I43" s="4"/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/>
      <c r="Q43" s="4">
        <v>1</v>
      </c>
      <c r="R43" s="4">
        <v>1</v>
      </c>
      <c r="S43" s="4"/>
      <c r="T43" s="4">
        <v>1</v>
      </c>
      <c r="U43" s="4">
        <v>1</v>
      </c>
      <c r="V43" s="4"/>
      <c r="W43" s="4">
        <v>1</v>
      </c>
      <c r="X43" s="4"/>
      <c r="Y43" s="4"/>
      <c r="Z43" s="4">
        <v>1</v>
      </c>
      <c r="AA43" s="4"/>
    </row>
    <row r="44" spans="1:27" ht="15" customHeight="1" x14ac:dyDescent="0.35">
      <c r="A44" s="3" t="s">
        <v>43</v>
      </c>
      <c r="B44" s="5">
        <f t="shared" si="0"/>
        <v>0.77777777777777779</v>
      </c>
      <c r="C44" s="4">
        <f>SUM(D44:AA44)+1+1</f>
        <v>21</v>
      </c>
      <c r="D44" s="4">
        <v>1</v>
      </c>
      <c r="E44" s="4">
        <v>1</v>
      </c>
      <c r="F44" s="4">
        <v>1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/>
      <c r="M44" s="4"/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/>
      <c r="T44" s="4"/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/>
      <c r="AA44" s="4">
        <v>1</v>
      </c>
    </row>
    <row r="45" spans="1:27" ht="15" customHeight="1" x14ac:dyDescent="0.35">
      <c r="A45" s="3" t="s">
        <v>44</v>
      </c>
      <c r="B45" s="5">
        <f t="shared" si="0"/>
        <v>0.85185185185185186</v>
      </c>
      <c r="C45" s="4">
        <f>SUM(D45:AA45)+1+1</f>
        <v>23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/>
      <c r="N45" s="4">
        <v>1</v>
      </c>
      <c r="O45" s="4">
        <v>1</v>
      </c>
      <c r="P45" s="4"/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/>
      <c r="Z45" s="4">
        <v>1</v>
      </c>
      <c r="AA45" s="4">
        <v>1</v>
      </c>
    </row>
    <row r="46" spans="1:27" ht="15" customHeight="1" x14ac:dyDescent="0.35">
      <c r="A46" s="3" t="s">
        <v>45</v>
      </c>
      <c r="B46" s="5">
        <f t="shared" si="0"/>
        <v>0.88888888888888884</v>
      </c>
      <c r="C46" s="4">
        <f>SUM(D46:AA46)+1+1</f>
        <v>24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/>
      <c r="M46" s="4"/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:27" ht="15" customHeight="1" x14ac:dyDescent="0.35">
      <c r="A47" s="3" t="s">
        <v>46</v>
      </c>
      <c r="B47" s="5">
        <f t="shared" si="0"/>
        <v>0.62962962962962965</v>
      </c>
      <c r="C47" s="4">
        <f t="shared" si="1"/>
        <v>17</v>
      </c>
      <c r="D47" s="4">
        <v>1</v>
      </c>
      <c r="E47" s="4">
        <v>1</v>
      </c>
      <c r="F47" s="4">
        <v>1</v>
      </c>
      <c r="G47" s="4"/>
      <c r="H47" s="4"/>
      <c r="I47" s="4">
        <v>1</v>
      </c>
      <c r="J47" s="4">
        <v>1</v>
      </c>
      <c r="K47" s="4"/>
      <c r="L47" s="4">
        <v>1</v>
      </c>
      <c r="M47" s="4"/>
      <c r="N47" s="4">
        <v>1</v>
      </c>
      <c r="O47" s="4">
        <v>1</v>
      </c>
      <c r="P47" s="4"/>
      <c r="Q47" s="4"/>
      <c r="R47" s="4"/>
      <c r="S47" s="4">
        <v>1</v>
      </c>
      <c r="T47" s="4">
        <v>1</v>
      </c>
      <c r="U47" s="4"/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:27" ht="15" customHeight="1" x14ac:dyDescent="0.35">
      <c r="A48" s="3" t="s">
        <v>47</v>
      </c>
      <c r="B48" s="5">
        <f t="shared" si="0"/>
        <v>0.88888888888888884</v>
      </c>
      <c r="C48" s="4">
        <f>SUM(D48:AA48)+1+1</f>
        <v>24</v>
      </c>
      <c r="D48" s="4">
        <v>1</v>
      </c>
      <c r="E48" s="4">
        <v>1</v>
      </c>
      <c r="F48" s="4">
        <v>1</v>
      </c>
      <c r="G48" s="4"/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/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:27" ht="15" customHeight="1" x14ac:dyDescent="0.35">
      <c r="A49" s="3" t="s">
        <v>48</v>
      </c>
      <c r="B49" s="5">
        <f t="shared" si="0"/>
        <v>0.96296296296296291</v>
      </c>
      <c r="C49" s="4">
        <f>SUM(D49:AA49)+1+1+1</f>
        <v>26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/>
      <c r="Z49" s="4">
        <v>1</v>
      </c>
      <c r="AA49" s="4">
        <v>1</v>
      </c>
    </row>
    <row r="50" spans="1:27" ht="15" customHeight="1" x14ac:dyDescent="0.35">
      <c r="A50" s="3" t="s">
        <v>49</v>
      </c>
      <c r="B50" s="5">
        <f t="shared" si="0"/>
        <v>1</v>
      </c>
      <c r="C50" s="4">
        <f>SUM(D50:AA50)+1+1+1</f>
        <v>27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:27" ht="15" customHeight="1" x14ac:dyDescent="0.35">
      <c r="A51" s="3" t="s">
        <v>50</v>
      </c>
      <c r="B51" s="5">
        <f t="shared" si="0"/>
        <v>0.48148148148148145</v>
      </c>
      <c r="C51" s="4">
        <f t="shared" si="1"/>
        <v>13</v>
      </c>
      <c r="D51" s="4"/>
      <c r="E51" s="4"/>
      <c r="F51" s="4"/>
      <c r="G51" s="4">
        <v>1</v>
      </c>
      <c r="H51" s="4">
        <v>1</v>
      </c>
      <c r="I51" s="4"/>
      <c r="J51" s="4"/>
      <c r="K51" s="4"/>
      <c r="L51" s="4">
        <v>1</v>
      </c>
      <c r="M51" s="4">
        <v>1</v>
      </c>
      <c r="N51" s="4">
        <v>0</v>
      </c>
      <c r="O51" s="4"/>
      <c r="P51" s="4"/>
      <c r="Q51" s="4">
        <v>1</v>
      </c>
      <c r="R51" s="4">
        <v>1</v>
      </c>
      <c r="S51" s="4"/>
      <c r="T51" s="4">
        <v>1</v>
      </c>
      <c r="U51" s="4">
        <v>1</v>
      </c>
      <c r="V51" s="4"/>
      <c r="W51" s="4"/>
      <c r="X51" s="4">
        <v>1</v>
      </c>
      <c r="Y51" s="4">
        <v>1</v>
      </c>
      <c r="Z51" s="4">
        <v>1</v>
      </c>
      <c r="AA51" s="4">
        <v>1</v>
      </c>
    </row>
    <row r="52" spans="1:27" ht="15" customHeight="1" x14ac:dyDescent="0.35">
      <c r="A52" s="3" t="s">
        <v>51</v>
      </c>
      <c r="B52" s="5">
        <f t="shared" si="0"/>
        <v>0.44444444444444442</v>
      </c>
      <c r="C52" s="4">
        <f t="shared" si="1"/>
        <v>12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/>
      <c r="J52" s="4"/>
      <c r="K52" s="4"/>
      <c r="L52" s="4">
        <v>1</v>
      </c>
      <c r="M52" s="4"/>
      <c r="N52" s="4">
        <v>0</v>
      </c>
      <c r="O52" s="4"/>
      <c r="P52" s="4"/>
      <c r="Q52" s="4"/>
      <c r="R52" s="4"/>
      <c r="S52" s="4">
        <v>1</v>
      </c>
      <c r="T52" s="4">
        <v>1</v>
      </c>
      <c r="U52" s="4">
        <v>1</v>
      </c>
      <c r="V52" s="4"/>
      <c r="W52" s="4">
        <v>1</v>
      </c>
      <c r="X52" s="4"/>
      <c r="Y52" s="4"/>
      <c r="Z52" s="4"/>
      <c r="AA52" s="4">
        <v>1</v>
      </c>
    </row>
    <row r="53" spans="1:27" ht="15" customHeight="1" x14ac:dyDescent="0.35">
      <c r="A53" s="1" t="s">
        <v>52</v>
      </c>
      <c r="D53" s="4">
        <v>31</v>
      </c>
      <c r="E53" s="4">
        <v>36</v>
      </c>
      <c r="F53" s="4">
        <v>35</v>
      </c>
      <c r="G53" s="4">
        <v>34</v>
      </c>
      <c r="H53" s="4">
        <v>41</v>
      </c>
      <c r="I53" s="4">
        <v>33</v>
      </c>
      <c r="J53" s="4">
        <v>32</v>
      </c>
      <c r="K53" s="4">
        <v>34</v>
      </c>
      <c r="L53" s="4">
        <v>31</v>
      </c>
      <c r="M53" s="4">
        <v>25</v>
      </c>
      <c r="N53" s="4">
        <v>32</v>
      </c>
      <c r="O53" s="4">
        <v>35</v>
      </c>
      <c r="P53" s="4">
        <v>27</v>
      </c>
      <c r="Q53" s="4">
        <v>32</v>
      </c>
      <c r="R53" s="4">
        <v>36</v>
      </c>
      <c r="S53" s="4">
        <v>29</v>
      </c>
      <c r="T53" s="4">
        <v>40</v>
      </c>
      <c r="U53" s="4">
        <v>35</v>
      </c>
      <c r="V53" s="4">
        <v>28</v>
      </c>
      <c r="W53" s="4">
        <v>31</v>
      </c>
      <c r="X53" s="4">
        <v>27</v>
      </c>
      <c r="Y53" s="4">
        <v>26</v>
      </c>
      <c r="Z53" s="4">
        <v>28</v>
      </c>
      <c r="AA53" s="4">
        <v>34</v>
      </c>
    </row>
  </sheetData>
  <mergeCells count="1">
    <mergeCell ref="D1:AA1"/>
  </mergeCells>
  <conditionalFormatting sqref="B6:B52">
    <cfRule type="cellIs" dxfId="2" priority="1" operator="between">
      <formula>0.5</formula>
      <formula>0.65</formula>
    </cfRule>
    <cfRule type="cellIs" dxfId="1" priority="2" operator="lessThan">
      <formula>0.5</formula>
    </cfRule>
    <cfRule type="cellIs" dxfId="0" priority="3" operator="greaterThanOrEqual">
      <formula>0.65</formula>
    </cfRule>
  </conditionalFormatting>
  <pageMargins left="1" right="1" top="1" bottom="1" header="0.3" footer="0.3"/>
  <pageSetup orientation="portrait" r:id="rId1"/>
  <ignoredErrors>
    <ignoredError sqref="D1:AA1 D3:AA5 D2:AA2 A3:A5 A1 D6:AA53 A6: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Juan Pablo Salazar Fernández</cp:lastModifiedBy>
  <dcterms:created xsi:type="dcterms:W3CDTF">2025-11-29T23:36:57Z</dcterms:created>
  <dcterms:modified xsi:type="dcterms:W3CDTF">2025-12-04T15:04:27Z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21.2.7.0</vt:lpwstr>
  </property>
</Properties>
</file>