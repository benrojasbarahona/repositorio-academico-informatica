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formatica\Dropbox\Cursos UACh\2026\2026.1 - INFO209\"/>
    </mc:Choice>
  </mc:AlternateContent>
  <xr:revisionPtr revIDLastSave="0" documentId="8_{EEA55E50-2155-4988-B075-F4278ECFAC85}" xr6:coauthVersionLast="47" xr6:coauthVersionMax="47" xr10:uidLastSave="{00000000-0000-0000-0000-000000000000}"/>
  <bookViews>
    <workbookView xWindow="-110" yWindow="-110" windowWidth="25820" windowHeight="15500" activeTab="4" xr2:uid="{9E017672-369D-4BC4-B59F-AB50159C7899}"/>
  </bookViews>
  <sheets>
    <sheet name="semana8-2026" sheetId="11" r:id="rId1"/>
    <sheet name="semana7-2026" sheetId="9" r:id="rId2"/>
    <sheet name="Semana 5-2006" sheetId="10" r:id="rId3"/>
    <sheet name="Semana 3-2026" sheetId="8" r:id="rId4"/>
    <sheet name="Promedio Práctico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31" i="5" l="1"/>
  <c r="J30" i="5"/>
  <c r="J29" i="5"/>
  <c r="J28" i="5"/>
  <c r="J27" i="5"/>
  <c r="J26" i="5"/>
  <c r="J25" i="5"/>
  <c r="J24" i="5"/>
  <c r="J23" i="5"/>
  <c r="J22" i="5"/>
  <c r="J21" i="5"/>
  <c r="J20" i="5"/>
  <c r="J19" i="5"/>
  <c r="J18" i="5"/>
  <c r="J17" i="5"/>
  <c r="J16" i="5"/>
  <c r="J15" i="5"/>
  <c r="J14" i="5"/>
  <c r="J13" i="5"/>
  <c r="J12" i="5"/>
  <c r="J11" i="5"/>
  <c r="J10" i="5"/>
  <c r="J9" i="5"/>
  <c r="J8" i="5"/>
  <c r="J7" i="5"/>
  <c r="J6" i="5"/>
  <c r="J5" i="5"/>
  <c r="F31" i="5"/>
  <c r="F30" i="5"/>
  <c r="F29" i="5"/>
  <c r="F28" i="5"/>
  <c r="F26" i="5"/>
  <c r="F25" i="5"/>
  <c r="F23" i="5"/>
  <c r="F22" i="5"/>
  <c r="F21" i="5"/>
  <c r="F20" i="5"/>
  <c r="F19" i="5"/>
  <c r="F18" i="5"/>
  <c r="F17" i="5"/>
  <c r="F16" i="5"/>
  <c r="F15" i="5"/>
  <c r="F14" i="5"/>
  <c r="F13" i="5"/>
  <c r="F12" i="5"/>
  <c r="F10" i="5"/>
  <c r="F9" i="5"/>
  <c r="F8" i="5"/>
  <c r="F7" i="5"/>
  <c r="F6" i="5"/>
  <c r="F5" i="5"/>
  <c r="I31" i="11"/>
  <c r="I30" i="11"/>
  <c r="I29" i="11"/>
  <c r="I28" i="11"/>
  <c r="I27" i="11"/>
  <c r="I26" i="11"/>
  <c r="I25" i="11"/>
  <c r="I24" i="11"/>
  <c r="I23" i="11"/>
  <c r="I22" i="11"/>
  <c r="I21" i="11"/>
  <c r="I20" i="11"/>
  <c r="I19" i="11"/>
  <c r="I18" i="11"/>
  <c r="I17" i="11"/>
  <c r="I16" i="11"/>
  <c r="I15" i="11"/>
  <c r="I14" i="11"/>
  <c r="I13" i="11"/>
  <c r="I12" i="11"/>
  <c r="I11" i="11"/>
  <c r="I10" i="11"/>
  <c r="I9" i="11"/>
  <c r="I8" i="11"/>
  <c r="I7" i="11"/>
  <c r="I6" i="11"/>
  <c r="I5" i="11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4" i="5"/>
  <c r="E13" i="5"/>
  <c r="E12" i="5"/>
  <c r="E11" i="5"/>
  <c r="E10" i="5"/>
  <c r="E9" i="5"/>
  <c r="E8" i="5"/>
  <c r="E7" i="5"/>
  <c r="E6" i="5"/>
  <c r="E5" i="5"/>
  <c r="D30" i="5"/>
  <c r="D29" i="5"/>
  <c r="D28" i="5"/>
  <c r="D26" i="5"/>
  <c r="D25" i="5"/>
  <c r="D24" i="5"/>
  <c r="D23" i="5"/>
  <c r="D22" i="5"/>
  <c r="D21" i="5"/>
  <c r="D20" i="5"/>
  <c r="D19" i="5"/>
  <c r="D18" i="5"/>
  <c r="D16" i="5"/>
  <c r="D14" i="5"/>
  <c r="D13" i="5"/>
  <c r="D12" i="5"/>
  <c r="D11" i="5"/>
  <c r="D10" i="5"/>
  <c r="D9" i="5"/>
  <c r="D8" i="5"/>
  <c r="D7" i="5"/>
  <c r="D6" i="5"/>
  <c r="D5" i="5"/>
  <c r="C31" i="5"/>
  <c r="C30" i="5"/>
  <c r="C29" i="5"/>
  <c r="C27" i="5"/>
  <c r="C24" i="5"/>
  <c r="C23" i="5"/>
  <c r="C22" i="5"/>
  <c r="C20" i="5"/>
  <c r="C19" i="5"/>
  <c r="C17" i="5"/>
  <c r="C16" i="5"/>
  <c r="C15" i="5"/>
  <c r="C14" i="5"/>
  <c r="C13" i="5"/>
  <c r="C12" i="5"/>
  <c r="C11" i="5"/>
  <c r="C10" i="5"/>
  <c r="C9" i="5"/>
  <c r="C8" i="5"/>
  <c r="C7" i="5"/>
  <c r="C6" i="5"/>
  <c r="G31" i="9"/>
  <c r="G30" i="9"/>
  <c r="G29" i="9"/>
  <c r="G28" i="9"/>
  <c r="G26" i="9"/>
  <c r="G25" i="9"/>
  <c r="G24" i="9"/>
  <c r="G23" i="9"/>
  <c r="G22" i="9"/>
  <c r="G21" i="9"/>
  <c r="G20" i="9"/>
  <c r="G19" i="9"/>
  <c r="G18" i="9"/>
  <c r="G17" i="9"/>
  <c r="G16" i="9"/>
  <c r="G14" i="9"/>
  <c r="G13" i="9"/>
  <c r="G12" i="9"/>
  <c r="G11" i="9"/>
  <c r="G10" i="9"/>
  <c r="G9" i="9"/>
  <c r="G8" i="9"/>
  <c r="G7" i="9"/>
  <c r="G6" i="9"/>
  <c r="G5" i="9"/>
  <c r="C31" i="9"/>
  <c r="E26" i="9"/>
  <c r="E22" i="9"/>
  <c r="C22" i="9"/>
  <c r="E19" i="9"/>
  <c r="F18" i="9"/>
  <c r="E18" i="9"/>
  <c r="E8" i="9"/>
  <c r="S31" i="10"/>
  <c r="S30" i="10"/>
  <c r="S29" i="10"/>
  <c r="S28" i="10"/>
  <c r="S26" i="10"/>
  <c r="S25" i="10"/>
  <c r="S24" i="10"/>
  <c r="S23" i="10"/>
  <c r="S22" i="10"/>
  <c r="S21" i="10"/>
  <c r="S20" i="10"/>
  <c r="S19" i="10"/>
  <c r="S18" i="10"/>
  <c r="S17" i="10"/>
  <c r="S16" i="10"/>
  <c r="S14" i="10"/>
  <c r="S13" i="10"/>
  <c r="S12" i="10"/>
  <c r="S11" i="10"/>
  <c r="S10" i="10"/>
  <c r="S9" i="10"/>
  <c r="S8" i="10"/>
  <c r="S7" i="10"/>
  <c r="S6" i="10"/>
  <c r="S5" i="10"/>
  <c r="K31" i="8"/>
  <c r="K30" i="8"/>
  <c r="K29" i="8"/>
  <c r="K28" i="8"/>
  <c r="K26" i="8"/>
  <c r="K25" i="8"/>
  <c r="K24" i="8"/>
  <c r="K23" i="8"/>
  <c r="K22" i="8"/>
  <c r="K21" i="8"/>
  <c r="K20" i="8"/>
  <c r="K19" i="8"/>
  <c r="K17" i="8"/>
  <c r="K16" i="8"/>
  <c r="K15" i="8"/>
  <c r="K14" i="8"/>
  <c r="K13" i="8"/>
  <c r="K12" i="8"/>
  <c r="K11" i="8"/>
  <c r="K10" i="8"/>
  <c r="K9" i="8"/>
  <c r="K8" i="8"/>
  <c r="K7" i="8"/>
  <c r="K6" i="8"/>
</calcChain>
</file>

<file path=xl/sharedStrings.xml><?xml version="1.0" encoding="utf-8"?>
<sst xmlns="http://schemas.openxmlformats.org/spreadsheetml/2006/main" count="363" uniqueCount="96">
  <si>
    <t>Nombre</t>
  </si>
  <si>
    <t>Email</t>
  </si>
  <si>
    <t>INFO 209 - PRÁCTICO SEMANA 3</t>
  </si>
  <si>
    <t>Parte 1</t>
  </si>
  <si>
    <t>Parte 2</t>
  </si>
  <si>
    <t>1a</t>
  </si>
  <si>
    <t>1b</t>
  </si>
  <si>
    <t>1c</t>
  </si>
  <si>
    <t>1d</t>
  </si>
  <si>
    <t>2a</t>
  </si>
  <si>
    <t>2b</t>
  </si>
  <si>
    <t>2c</t>
  </si>
  <si>
    <t>2d</t>
  </si>
  <si>
    <t>Nota</t>
  </si>
  <si>
    <t xml:space="preserve"> </t>
  </si>
  <si>
    <t>1e</t>
  </si>
  <si>
    <t>1f</t>
  </si>
  <si>
    <t>1g</t>
  </si>
  <si>
    <t>1h</t>
  </si>
  <si>
    <t>2e</t>
  </si>
  <si>
    <t>Sem 3</t>
  </si>
  <si>
    <t>Sem 5</t>
  </si>
  <si>
    <t>Promedio</t>
  </si>
  <si>
    <t>Promedio prácticos INFO209 - Taller de Bases de Datos</t>
  </si>
  <si>
    <t>ALVARADO BALBOA,MARTÍN ALEXIS</t>
  </si>
  <si>
    <t>martin.alvarado@alumnos.uach.cl;</t>
  </si>
  <si>
    <t>CARLIN SARAVIA,GIORGIO ENRIQUE</t>
  </si>
  <si>
    <t>giorgio.carlin@alumnos.uach.cl;</t>
  </si>
  <si>
    <t>CARRILLO SOTO,MAYRA ANTONELLA</t>
  </si>
  <si>
    <t>mayra.carrillo@alumnos.uach.cl;</t>
  </si>
  <si>
    <t>CÓRDOVA CONCHA,NICOLÁS IGNACIO</t>
  </si>
  <si>
    <t>nicolas.cordova@alumnos.uach.cl;</t>
  </si>
  <si>
    <t>DURÁN VILCHES,IVAN DRAGO</t>
  </si>
  <si>
    <t>ivan.duran@alumnos.uach.cl;</t>
  </si>
  <si>
    <t>GAVILÁN GUIDOTTI,BASTIÁN NIVALDO</t>
  </si>
  <si>
    <t>bastian.gavilan@alumnos.uach.cl;</t>
  </si>
  <si>
    <t>HABERT GARCÉS,LUCIANA IGNACIA</t>
  </si>
  <si>
    <t>luciana.habert@alumnos.uach.cl;</t>
  </si>
  <si>
    <t>HERNÁNDEZ MIRANDA,FRANCISCO LEONEL</t>
  </si>
  <si>
    <t>francisco.hernandez03@alumnos.uach.cl;</t>
  </si>
  <si>
    <t>LARA BRIONES,MARCELO ALEJANDRO</t>
  </si>
  <si>
    <t>marcelo.lara@alumnos.uach.cl;</t>
  </si>
  <si>
    <t>LEAL GALLEGOS,JOSEFINA ANTONIA</t>
  </si>
  <si>
    <t>josefina.leal@alumnos.uach.cl;</t>
  </si>
  <si>
    <t>MALDONADO SANHUEZA,GABRIEL ALEXIS</t>
  </si>
  <si>
    <t>gabriel.maldonado01@alumnos.uach.cl;</t>
  </si>
  <si>
    <t>MARTÍNEZ HERNÁNDEZ,JAVIER ALEJANDRO</t>
  </si>
  <si>
    <t>javier.martinez02@alumnos.uach.cl;</t>
  </si>
  <si>
    <t>RIVERA FARIÑA,MATÍAS AARON</t>
  </si>
  <si>
    <t>matias.rivera@alumnos.uach.cl;</t>
  </si>
  <si>
    <t>ROJAS BARAHONA,BENJAMÍN BEN</t>
  </si>
  <si>
    <t>benjamin.rojas02@alumnos.uach.cl;</t>
  </si>
  <si>
    <t>RUPAILAF QUEZADA,ALEN ORLANDO</t>
  </si>
  <si>
    <t>alen.rupailaf@alumnos.uach.cl;</t>
  </si>
  <si>
    <t>SALAS RODRÍGUEZ,SEBASTIÁN ISAI EDGARDO</t>
  </si>
  <si>
    <t>sebastian.salas02@alumnos.uach.cl;</t>
  </si>
  <si>
    <t>SALINAS SCHMIDT,PASCAL GABRIEL</t>
  </si>
  <si>
    <t>pascal.salinas@alumnos.uach.cl;</t>
  </si>
  <si>
    <t>SEGUEL BRAVO,ANDRÉS ESTEBAN</t>
  </si>
  <si>
    <t>andres.seguel@alumnos.uach.cl;</t>
  </si>
  <si>
    <t>SILVA MENA,JOSÉ CRISTÓBAL</t>
  </si>
  <si>
    <t>jose.silva@alumnos.uach.cl;</t>
  </si>
  <si>
    <t>SKILLMANN LÓPEZ,CRISTÓBAL ALONSO</t>
  </si>
  <si>
    <t>cristobal.skillmann@alumnos.uach.cl;</t>
  </si>
  <si>
    <t>SOTO LOMBOY,MATÍAS</t>
  </si>
  <si>
    <t>matias.soto@alumnos.uach.cl;</t>
  </si>
  <si>
    <t>SOTO VERGARA,DIEGO RONALDO HERMES</t>
  </si>
  <si>
    <t>diego.soto06@alumnos.uach.cl;</t>
  </si>
  <si>
    <t>TAPIA YEFI,RENTON DANIEL</t>
  </si>
  <si>
    <t>renton.tapia@alumnos.uach.cl;</t>
  </si>
  <si>
    <t>TOLEDO VARELA,MATÍAS IGNACIO</t>
  </si>
  <si>
    <t>matias.toledo01@alumnos.uach.cl;</t>
  </si>
  <si>
    <t>VEAS HUEQUEMÁN,CRISTÓBAL FELIPE</t>
  </si>
  <si>
    <t>cristobal.veas@alumnos.uach.cl;</t>
  </si>
  <si>
    <t>VERGARA MOYA,RODRIGO ANDRÉS</t>
  </si>
  <si>
    <t>rodrigo.vergara01@alumnos.uach.cl;</t>
  </si>
  <si>
    <t>ZAPATA TORRES,KATHERINE FRANCISCA</t>
  </si>
  <si>
    <t>katherine.zapata@alumnos.uach.cl;</t>
  </si>
  <si>
    <t>INFO 209 - PRÁCTICO SEMANA 7</t>
  </si>
  <si>
    <t>Parte 3</t>
  </si>
  <si>
    <t>3a</t>
  </si>
  <si>
    <t>3b</t>
  </si>
  <si>
    <t xml:space="preserve">INFO 209 - PRÁCTICO SEMANA 5 </t>
  </si>
  <si>
    <t>Sem 7</t>
  </si>
  <si>
    <t>INFO 209 - PRÁCTICO SEMANA 8</t>
  </si>
  <si>
    <t>Práctico</t>
  </si>
  <si>
    <t>Paso 1</t>
  </si>
  <si>
    <t>Paso 2</t>
  </si>
  <si>
    <t>Paso 3</t>
  </si>
  <si>
    <t>Paso 4</t>
  </si>
  <si>
    <t>Paso 5</t>
  </si>
  <si>
    <t>Paso 6</t>
  </si>
  <si>
    <t>Sem 8</t>
  </si>
  <si>
    <t>Sem 9</t>
  </si>
  <si>
    <t>Sem 11</t>
  </si>
  <si>
    <t>Sem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</si>
</sst>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 * #,##0_ ;_ * \-#,##0_ ;_ * &quot;-&quot;_ ;_ @_ "/>
    <numFmt numFmtId="164" formatCode="_ * #,##0.0_ ;_ * \-#,##0.0_ ;_ * &quot;-&quot;_ ;_ @_ "/>
    <numFmt numFmtId="165" formatCode="0.0"/>
    <numFmt numFmtId="166" formatCode="_ * #,##0.00_ ;_ * \-#,##0.00_ ;_ * &quot;-&quot;_ ;_ @_ 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5"/>
      <color rgb="FF666666"/>
      <name val="Segoe UI"/>
      <family val="2"/>
    </font>
    <font>
      <b/>
      <sz val="16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0AE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45">
    <xf numFmtId="0" fontId="0" fillId="0" borderId="0" xfId="0"/>
    <xf numFmtId="0" fontId="0" fillId="0" borderId="1" xfId="0" applyBorder="1"/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164" fontId="0" fillId="0" borderId="0" xfId="1" applyNumberFormat="1" applyFont="1"/>
    <xf numFmtId="164" fontId="0" fillId="0" borderId="1" xfId="1" applyNumberFormat="1" applyFont="1" applyBorder="1"/>
    <xf numFmtId="0" fontId="0" fillId="0" borderId="3" xfId="0" applyBorder="1"/>
    <xf numFmtId="0" fontId="0" fillId="3" borderId="4" xfId="0" applyFill="1" applyBorder="1" applyAlignment="1">
      <alignment vertical="center"/>
    </xf>
    <xf numFmtId="0" fontId="0" fillId="3" borderId="5" xfId="0" applyFill="1" applyBorder="1" applyAlignment="1">
      <alignment vertical="center"/>
    </xf>
    <xf numFmtId="0" fontId="0" fillId="3" borderId="6" xfId="0" applyFill="1" applyBorder="1" applyAlignment="1">
      <alignment vertical="center"/>
    </xf>
    <xf numFmtId="165" fontId="0" fillId="0" borderId="1" xfId="0" applyNumberFormat="1" applyBorder="1"/>
    <xf numFmtId="165" fontId="0" fillId="0" borderId="2" xfId="0" applyNumberFormat="1" applyBorder="1"/>
    <xf numFmtId="0" fontId="0" fillId="3" borderId="7" xfId="0" applyFill="1" applyBorder="1" applyAlignment="1">
      <alignment vertical="center"/>
    </xf>
    <xf numFmtId="165" fontId="0" fillId="0" borderId="8" xfId="0" applyNumberFormat="1" applyBorder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66" fontId="4" fillId="0" borderId="0" xfId="1" applyNumberFormat="1" applyFont="1" applyAlignment="1">
      <alignment horizontal="center"/>
    </xf>
    <xf numFmtId="166" fontId="0" fillId="3" borderId="1" xfId="1" applyNumberFormat="1" applyFont="1" applyFill="1" applyBorder="1" applyAlignment="1">
      <alignment horizontal="center" vertical="center"/>
    </xf>
    <xf numFmtId="166" fontId="0" fillId="0" borderId="1" xfId="1" applyNumberFormat="1" applyFont="1" applyBorder="1"/>
    <xf numFmtId="166" fontId="0" fillId="0" borderId="0" xfId="1" applyNumberFormat="1" applyFont="1"/>
    <xf numFmtId="164" fontId="0" fillId="0" borderId="1" xfId="0" applyNumberFormat="1" applyBorder="1"/>
    <xf numFmtId="164" fontId="0" fillId="0" borderId="0" xfId="0" applyNumberFormat="1"/>
    <xf numFmtId="0" fontId="0" fillId="3" borderId="13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0" borderId="17" xfId="0" applyBorder="1"/>
    <xf numFmtId="0" fontId="4" fillId="0" borderId="0" xfId="0" applyFont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2" fillId="3" borderId="10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166" fontId="2" fillId="3" borderId="1" xfId="1" applyNumberFormat="1" applyFont="1" applyFill="1" applyBorder="1" applyAlignment="1">
      <alignment horizontal="center" vertical="center"/>
    </xf>
    <xf numFmtId="164" fontId="0" fillId="3" borderId="1" xfId="1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vertical="center" wrapText="1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vertical="center"/>
    </xf>
    <xf numFmtId="165" fontId="0" fillId="4" borderId="1" xfId="0" applyNumberFormat="1" applyFill="1" applyBorder="1"/>
    <xf numFmtId="165" fontId="0" fillId="4" borderId="8" xfId="0" applyNumberFormat="1" applyFill="1" applyBorder="1"/>
    <xf numFmtId="165" fontId="0" fillId="5" borderId="1" xfId="0" applyNumberFormat="1" applyFill="1" applyBorder="1"/>
  </cellXfs>
  <cellStyles count="2">
    <cellStyle name="Millares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31</xdr:row>
      <xdr:rowOff>0</xdr:rowOff>
    </xdr:from>
    <xdr:to>
      <xdr:col>0</xdr:col>
      <xdr:colOff>15875</xdr:colOff>
      <xdr:row>31</xdr:row>
      <xdr:rowOff>15875</xdr:rowOff>
    </xdr:to>
    <xdr:pic>
      <xdr:nvPicPr>
        <xdr:cNvPr id="8" name="ctl00_ctl09_Content_pcContenedor_GvAlumnos_IADD" descr="Down Arrow">
          <a:extLst>
            <a:ext uri="{FF2B5EF4-FFF2-40B4-BE49-F238E27FC236}">
              <a16:creationId xmlns:a16="http://schemas.microsoft.com/office/drawing/2014/main" id="{F00E5B0D-809D-44D9-8100-D42E5FEDE6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86450"/>
          <a:ext cx="15875" cy="15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</xdr:row>
      <xdr:rowOff>0</xdr:rowOff>
    </xdr:from>
    <xdr:to>
      <xdr:col>0</xdr:col>
      <xdr:colOff>15875</xdr:colOff>
      <xdr:row>31</xdr:row>
      <xdr:rowOff>15875</xdr:rowOff>
    </xdr:to>
    <xdr:pic>
      <xdr:nvPicPr>
        <xdr:cNvPr id="9" name="ctl00_ctl09_Content_pcContenedor_GvAlumnos_IADU" descr="Up Arrow">
          <a:extLst>
            <a:ext uri="{FF2B5EF4-FFF2-40B4-BE49-F238E27FC236}">
              <a16:creationId xmlns:a16="http://schemas.microsoft.com/office/drawing/2014/main" id="{0FBEB50D-C439-4C01-9D85-D30393AF67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86450"/>
          <a:ext cx="15875" cy="15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</xdr:row>
      <xdr:rowOff>0</xdr:rowOff>
    </xdr:from>
    <xdr:to>
      <xdr:col>0</xdr:col>
      <xdr:colOff>15875</xdr:colOff>
      <xdr:row>31</xdr:row>
      <xdr:rowOff>15875</xdr:rowOff>
    </xdr:to>
    <xdr:pic>
      <xdr:nvPicPr>
        <xdr:cNvPr id="10" name="ctl00_ctl09_Content_pcContenedor_GvAlumnos_IADL" descr="Left Arrow">
          <a:extLst>
            <a:ext uri="{FF2B5EF4-FFF2-40B4-BE49-F238E27FC236}">
              <a16:creationId xmlns:a16="http://schemas.microsoft.com/office/drawing/2014/main" id="{156BF385-F6C2-4699-B74B-8496B4D24D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86450"/>
          <a:ext cx="15875" cy="15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</xdr:row>
      <xdr:rowOff>0</xdr:rowOff>
    </xdr:from>
    <xdr:to>
      <xdr:col>0</xdr:col>
      <xdr:colOff>15875</xdr:colOff>
      <xdr:row>31</xdr:row>
      <xdr:rowOff>15875</xdr:rowOff>
    </xdr:to>
    <xdr:pic>
      <xdr:nvPicPr>
        <xdr:cNvPr id="11" name="ctl00_ctl09_Content_pcContenedor_GvAlumnos_IADR" descr="Right Arrow">
          <a:extLst>
            <a:ext uri="{FF2B5EF4-FFF2-40B4-BE49-F238E27FC236}">
              <a16:creationId xmlns:a16="http://schemas.microsoft.com/office/drawing/2014/main" id="{07D273B8-C5C7-4EB9-A3AF-73D9FA1EDD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86450"/>
          <a:ext cx="15875" cy="15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</xdr:row>
      <xdr:rowOff>0</xdr:rowOff>
    </xdr:from>
    <xdr:to>
      <xdr:col>0</xdr:col>
      <xdr:colOff>15875</xdr:colOff>
      <xdr:row>31</xdr:row>
      <xdr:rowOff>15875</xdr:rowOff>
    </xdr:to>
    <xdr:pic>
      <xdr:nvPicPr>
        <xdr:cNvPr id="12" name="ctl00_ctl09_Content_pcContenedor_GvAlumnos_IDHF" descr="Ocultar">
          <a:extLst>
            <a:ext uri="{FF2B5EF4-FFF2-40B4-BE49-F238E27FC236}">
              <a16:creationId xmlns:a16="http://schemas.microsoft.com/office/drawing/2014/main" id="{06D8F182-007E-468B-993D-E561CD1994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86450"/>
          <a:ext cx="15875" cy="15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15875</xdr:colOff>
      <xdr:row>3</xdr:row>
      <xdr:rowOff>15875</xdr:rowOff>
    </xdr:to>
    <xdr:pic>
      <xdr:nvPicPr>
        <xdr:cNvPr id="13" name="Imagen 12" descr="[Filtrar]">
          <a:extLst>
            <a:ext uri="{FF2B5EF4-FFF2-40B4-BE49-F238E27FC236}">
              <a16:creationId xmlns:a16="http://schemas.microsoft.com/office/drawing/2014/main" id="{60BC6833-F5A3-48ED-9E21-5A7EE8772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0" y="723900"/>
          <a:ext cx="15875" cy="15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31</xdr:row>
      <xdr:rowOff>0</xdr:rowOff>
    </xdr:from>
    <xdr:to>
      <xdr:col>0</xdr:col>
      <xdr:colOff>15875</xdr:colOff>
      <xdr:row>31</xdr:row>
      <xdr:rowOff>15875</xdr:rowOff>
    </xdr:to>
    <xdr:pic>
      <xdr:nvPicPr>
        <xdr:cNvPr id="2" name="ctl00_ctl09_Content_pcContenedor_GvAlumnos_IADD" descr="Down Arrow">
          <a:extLst>
            <a:ext uri="{FF2B5EF4-FFF2-40B4-BE49-F238E27FC236}">
              <a16:creationId xmlns:a16="http://schemas.microsoft.com/office/drawing/2014/main" id="{D2B4C58C-216F-4EA8-A7E5-FD446E1F7F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389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</xdr:row>
      <xdr:rowOff>0</xdr:rowOff>
    </xdr:from>
    <xdr:to>
      <xdr:col>0</xdr:col>
      <xdr:colOff>15875</xdr:colOff>
      <xdr:row>31</xdr:row>
      <xdr:rowOff>15875</xdr:rowOff>
    </xdr:to>
    <xdr:pic>
      <xdr:nvPicPr>
        <xdr:cNvPr id="3" name="ctl00_ctl09_Content_pcContenedor_GvAlumnos_IADU" descr="Up Arrow">
          <a:extLst>
            <a:ext uri="{FF2B5EF4-FFF2-40B4-BE49-F238E27FC236}">
              <a16:creationId xmlns:a16="http://schemas.microsoft.com/office/drawing/2014/main" id="{D50FEF14-B997-4212-AE58-D7A4ABEA8D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389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</xdr:row>
      <xdr:rowOff>0</xdr:rowOff>
    </xdr:from>
    <xdr:to>
      <xdr:col>0</xdr:col>
      <xdr:colOff>15875</xdr:colOff>
      <xdr:row>31</xdr:row>
      <xdr:rowOff>15875</xdr:rowOff>
    </xdr:to>
    <xdr:pic>
      <xdr:nvPicPr>
        <xdr:cNvPr id="4" name="ctl00_ctl09_Content_pcContenedor_GvAlumnos_IADL" descr="Left Arrow">
          <a:extLst>
            <a:ext uri="{FF2B5EF4-FFF2-40B4-BE49-F238E27FC236}">
              <a16:creationId xmlns:a16="http://schemas.microsoft.com/office/drawing/2014/main" id="{E2E9E953-F3F3-4E7D-AF65-D57B5A30A3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389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</xdr:row>
      <xdr:rowOff>0</xdr:rowOff>
    </xdr:from>
    <xdr:to>
      <xdr:col>0</xdr:col>
      <xdr:colOff>15875</xdr:colOff>
      <xdr:row>31</xdr:row>
      <xdr:rowOff>15875</xdr:rowOff>
    </xdr:to>
    <xdr:pic>
      <xdr:nvPicPr>
        <xdr:cNvPr id="5" name="ctl00_ctl09_Content_pcContenedor_GvAlumnos_IADR" descr="Right Arrow">
          <a:extLst>
            <a:ext uri="{FF2B5EF4-FFF2-40B4-BE49-F238E27FC236}">
              <a16:creationId xmlns:a16="http://schemas.microsoft.com/office/drawing/2014/main" id="{91C127D5-C62A-474E-ACD5-C032EFB424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389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</xdr:row>
      <xdr:rowOff>0</xdr:rowOff>
    </xdr:from>
    <xdr:to>
      <xdr:col>0</xdr:col>
      <xdr:colOff>15875</xdr:colOff>
      <xdr:row>31</xdr:row>
      <xdr:rowOff>15875</xdr:rowOff>
    </xdr:to>
    <xdr:pic>
      <xdr:nvPicPr>
        <xdr:cNvPr id="6" name="ctl00_ctl09_Content_pcContenedor_GvAlumnos_IDHF" descr="Ocultar">
          <a:extLst>
            <a:ext uri="{FF2B5EF4-FFF2-40B4-BE49-F238E27FC236}">
              <a16:creationId xmlns:a16="http://schemas.microsoft.com/office/drawing/2014/main" id="{1DFB0D8B-4B05-43F7-B324-7529CFCF6F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389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15875</xdr:colOff>
      <xdr:row>3</xdr:row>
      <xdr:rowOff>15875</xdr:rowOff>
    </xdr:to>
    <xdr:pic>
      <xdr:nvPicPr>
        <xdr:cNvPr id="7" name="Imagen 6" descr="[Filtrar]">
          <a:extLst>
            <a:ext uri="{FF2B5EF4-FFF2-40B4-BE49-F238E27FC236}">
              <a16:creationId xmlns:a16="http://schemas.microsoft.com/office/drawing/2014/main" id="{34C9E9AC-9D0B-4CB0-A1B2-64197E1B05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7239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3</xdr:col>
      <xdr:colOff>15875</xdr:colOff>
      <xdr:row>3</xdr:row>
      <xdr:rowOff>15875</xdr:rowOff>
    </xdr:to>
    <xdr:pic>
      <xdr:nvPicPr>
        <xdr:cNvPr id="2" name="Imagen 1" descr="[Filtrar]">
          <a:extLst>
            <a:ext uri="{FF2B5EF4-FFF2-40B4-BE49-F238E27FC236}">
              <a16:creationId xmlns:a16="http://schemas.microsoft.com/office/drawing/2014/main" id="{69F4E916-B8A3-439C-8442-3BE5DE0984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7239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15875</xdr:colOff>
      <xdr:row>31</xdr:row>
      <xdr:rowOff>15875</xdr:rowOff>
    </xdr:to>
    <xdr:pic>
      <xdr:nvPicPr>
        <xdr:cNvPr id="3" name="ctl00_ctl09_Content_pcContenedor_GvAlumnos_IADD" descr="Down Arrow">
          <a:extLst>
            <a:ext uri="{FF2B5EF4-FFF2-40B4-BE49-F238E27FC236}">
              <a16:creationId xmlns:a16="http://schemas.microsoft.com/office/drawing/2014/main" id="{C8B0923A-F5D4-4678-9597-CCA78400EE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0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15875</xdr:colOff>
      <xdr:row>31</xdr:row>
      <xdr:rowOff>15875</xdr:rowOff>
    </xdr:to>
    <xdr:pic>
      <xdr:nvPicPr>
        <xdr:cNvPr id="4" name="ctl00_ctl09_Content_pcContenedor_GvAlumnos_IADU" descr="Up Arrow">
          <a:extLst>
            <a:ext uri="{FF2B5EF4-FFF2-40B4-BE49-F238E27FC236}">
              <a16:creationId xmlns:a16="http://schemas.microsoft.com/office/drawing/2014/main" id="{B323CE70-D0F0-4C18-8D9C-C4BC55AA34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0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15875</xdr:colOff>
      <xdr:row>31</xdr:row>
      <xdr:rowOff>15875</xdr:rowOff>
    </xdr:to>
    <xdr:pic>
      <xdr:nvPicPr>
        <xdr:cNvPr id="5" name="ctl00_ctl09_Content_pcContenedor_GvAlumnos_IADL" descr="Left Arrow">
          <a:extLst>
            <a:ext uri="{FF2B5EF4-FFF2-40B4-BE49-F238E27FC236}">
              <a16:creationId xmlns:a16="http://schemas.microsoft.com/office/drawing/2014/main" id="{F0D8DE8A-AD97-45B0-8584-43FABFE196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0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15875</xdr:colOff>
      <xdr:row>31</xdr:row>
      <xdr:rowOff>15875</xdr:rowOff>
    </xdr:to>
    <xdr:pic>
      <xdr:nvPicPr>
        <xdr:cNvPr id="6" name="ctl00_ctl09_Content_pcContenedor_GvAlumnos_IADR" descr="Right Arrow">
          <a:extLst>
            <a:ext uri="{FF2B5EF4-FFF2-40B4-BE49-F238E27FC236}">
              <a16:creationId xmlns:a16="http://schemas.microsoft.com/office/drawing/2014/main" id="{3AA1E6F0-FF90-4E87-B4F9-0E41B596C3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0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15875</xdr:colOff>
      <xdr:row>31</xdr:row>
      <xdr:rowOff>15875</xdr:rowOff>
    </xdr:to>
    <xdr:pic>
      <xdr:nvPicPr>
        <xdr:cNvPr id="7" name="ctl00_ctl09_Content_pcContenedor_GvAlumnos_IDHF" descr="Ocultar">
          <a:extLst>
            <a:ext uri="{FF2B5EF4-FFF2-40B4-BE49-F238E27FC236}">
              <a16:creationId xmlns:a16="http://schemas.microsoft.com/office/drawing/2014/main" id="{15868560-A946-440D-A41E-9F89F5E461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0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31</xdr:row>
      <xdr:rowOff>0</xdr:rowOff>
    </xdr:from>
    <xdr:to>
      <xdr:col>0</xdr:col>
      <xdr:colOff>15875</xdr:colOff>
      <xdr:row>31</xdr:row>
      <xdr:rowOff>15875</xdr:rowOff>
    </xdr:to>
    <xdr:pic>
      <xdr:nvPicPr>
        <xdr:cNvPr id="2" name="ctl00_ctl09_Content_pcContenedor_GvAlumnos_IADD" descr="Down Arrow">
          <a:extLst>
            <a:ext uri="{FF2B5EF4-FFF2-40B4-BE49-F238E27FC236}">
              <a16:creationId xmlns:a16="http://schemas.microsoft.com/office/drawing/2014/main" id="{874C3326-5F34-480E-9FCB-8E4C296A38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6121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</xdr:row>
      <xdr:rowOff>0</xdr:rowOff>
    </xdr:from>
    <xdr:to>
      <xdr:col>0</xdr:col>
      <xdr:colOff>15875</xdr:colOff>
      <xdr:row>31</xdr:row>
      <xdr:rowOff>15875</xdr:rowOff>
    </xdr:to>
    <xdr:pic>
      <xdr:nvPicPr>
        <xdr:cNvPr id="3" name="ctl00_ctl09_Content_pcContenedor_GvAlumnos_IADU" descr="Up Arrow">
          <a:extLst>
            <a:ext uri="{FF2B5EF4-FFF2-40B4-BE49-F238E27FC236}">
              <a16:creationId xmlns:a16="http://schemas.microsoft.com/office/drawing/2014/main" id="{A36D7C3C-0F51-4182-9AFB-D1A02B2B30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206121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</xdr:row>
      <xdr:rowOff>0</xdr:rowOff>
    </xdr:from>
    <xdr:to>
      <xdr:col>0</xdr:col>
      <xdr:colOff>15875</xdr:colOff>
      <xdr:row>31</xdr:row>
      <xdr:rowOff>15875</xdr:rowOff>
    </xdr:to>
    <xdr:pic>
      <xdr:nvPicPr>
        <xdr:cNvPr id="4" name="ctl00_ctl09_Content_pcContenedor_GvAlumnos_IADL" descr="Left Arrow">
          <a:extLst>
            <a:ext uri="{FF2B5EF4-FFF2-40B4-BE49-F238E27FC236}">
              <a16:creationId xmlns:a16="http://schemas.microsoft.com/office/drawing/2014/main" id="{3870E56B-8408-4009-B4DC-6DE1910DC7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06121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</xdr:row>
      <xdr:rowOff>0</xdr:rowOff>
    </xdr:from>
    <xdr:to>
      <xdr:col>0</xdr:col>
      <xdr:colOff>15875</xdr:colOff>
      <xdr:row>31</xdr:row>
      <xdr:rowOff>15875</xdr:rowOff>
    </xdr:to>
    <xdr:pic>
      <xdr:nvPicPr>
        <xdr:cNvPr id="5" name="ctl00_ctl09_Content_pcContenedor_GvAlumnos_IADR" descr="Right Arrow">
          <a:extLst>
            <a:ext uri="{FF2B5EF4-FFF2-40B4-BE49-F238E27FC236}">
              <a16:creationId xmlns:a16="http://schemas.microsoft.com/office/drawing/2014/main" id="{173E67B8-157D-412E-9A3B-E53CC17355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206121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</xdr:row>
      <xdr:rowOff>0</xdr:rowOff>
    </xdr:from>
    <xdr:to>
      <xdr:col>0</xdr:col>
      <xdr:colOff>15875</xdr:colOff>
      <xdr:row>31</xdr:row>
      <xdr:rowOff>15875</xdr:rowOff>
    </xdr:to>
    <xdr:pic>
      <xdr:nvPicPr>
        <xdr:cNvPr id="6" name="ctl00_ctl09_Content_pcContenedor_GvAlumnos_IDHF" descr="Ocultar">
          <a:extLst>
            <a:ext uri="{FF2B5EF4-FFF2-40B4-BE49-F238E27FC236}">
              <a16:creationId xmlns:a16="http://schemas.microsoft.com/office/drawing/2014/main" id="{85A086E4-A70B-4A9B-B342-19E6DEE7D6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206121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15875</xdr:colOff>
      <xdr:row>3</xdr:row>
      <xdr:rowOff>15875</xdr:rowOff>
    </xdr:to>
    <xdr:pic>
      <xdr:nvPicPr>
        <xdr:cNvPr id="8" name="Imagen 7" descr="[Filtrar]">
          <a:extLst>
            <a:ext uri="{FF2B5EF4-FFF2-40B4-BE49-F238E27FC236}">
              <a16:creationId xmlns:a16="http://schemas.microsoft.com/office/drawing/2014/main" id="{E389136F-C15C-4335-B242-300819284C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4025" y="714375"/>
          <a:ext cx="6350" cy="6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31</xdr:row>
      <xdr:rowOff>0</xdr:rowOff>
    </xdr:from>
    <xdr:to>
      <xdr:col>1</xdr:col>
      <xdr:colOff>15875</xdr:colOff>
      <xdr:row>31</xdr:row>
      <xdr:rowOff>15875</xdr:rowOff>
    </xdr:to>
    <xdr:pic>
      <xdr:nvPicPr>
        <xdr:cNvPr id="2" name="ctl00_ctl09_Content_pcContenedor_GvAlumnos_IADD" descr="Down Arrow">
          <a:extLst>
            <a:ext uri="{FF2B5EF4-FFF2-40B4-BE49-F238E27FC236}">
              <a16:creationId xmlns:a16="http://schemas.microsoft.com/office/drawing/2014/main" id="{EF25E19D-7301-4353-8241-5CFECFDBEA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3058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15875</xdr:colOff>
      <xdr:row>31</xdr:row>
      <xdr:rowOff>15875</xdr:rowOff>
    </xdr:to>
    <xdr:pic>
      <xdr:nvPicPr>
        <xdr:cNvPr id="3" name="ctl00_ctl09_Content_pcContenedor_GvAlumnos_IADU" descr="Up Arrow">
          <a:extLst>
            <a:ext uri="{FF2B5EF4-FFF2-40B4-BE49-F238E27FC236}">
              <a16:creationId xmlns:a16="http://schemas.microsoft.com/office/drawing/2014/main" id="{7CCC5617-264D-43DF-B826-7E8F114152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3058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15875</xdr:colOff>
      <xdr:row>31</xdr:row>
      <xdr:rowOff>15875</xdr:rowOff>
    </xdr:to>
    <xdr:pic>
      <xdr:nvPicPr>
        <xdr:cNvPr id="4" name="ctl00_ctl09_Content_pcContenedor_GvAlumnos_IADL" descr="Left Arrow">
          <a:extLst>
            <a:ext uri="{FF2B5EF4-FFF2-40B4-BE49-F238E27FC236}">
              <a16:creationId xmlns:a16="http://schemas.microsoft.com/office/drawing/2014/main" id="{D5314602-7F89-4F32-827C-2A6AF661C0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3058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15875</xdr:colOff>
      <xdr:row>31</xdr:row>
      <xdr:rowOff>15875</xdr:rowOff>
    </xdr:to>
    <xdr:pic>
      <xdr:nvPicPr>
        <xdr:cNvPr id="5" name="ctl00_ctl09_Content_pcContenedor_GvAlumnos_IADR" descr="Right Arrow">
          <a:extLst>
            <a:ext uri="{FF2B5EF4-FFF2-40B4-BE49-F238E27FC236}">
              <a16:creationId xmlns:a16="http://schemas.microsoft.com/office/drawing/2014/main" id="{74692BB8-91E5-4753-92D6-3F8C97491F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3058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15875</xdr:colOff>
      <xdr:row>31</xdr:row>
      <xdr:rowOff>15875</xdr:rowOff>
    </xdr:to>
    <xdr:pic>
      <xdr:nvPicPr>
        <xdr:cNvPr id="6" name="ctl00_ctl09_Content_pcContenedor_GvAlumnos_IDHF" descr="Ocultar">
          <a:extLst>
            <a:ext uri="{FF2B5EF4-FFF2-40B4-BE49-F238E27FC236}">
              <a16:creationId xmlns:a16="http://schemas.microsoft.com/office/drawing/2014/main" id="{FC061E5B-6242-42A0-A2C0-17985F39E2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3058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B7747-FF45-4D3A-914B-D745677E5057}">
  <dimension ref="A1:I31"/>
  <sheetViews>
    <sheetView workbookViewId="0">
      <selection activeCell="B35" sqref="B35"/>
    </sheetView>
  </sheetViews>
  <sheetFormatPr baseColWidth="10" defaultColWidth="34.54296875" defaultRowHeight="14.5" x14ac:dyDescent="0.35"/>
  <cols>
    <col min="1" max="1" width="42.54296875" customWidth="1"/>
    <col min="2" max="2" width="36.54296875" bestFit="1" customWidth="1"/>
    <col min="3" max="8" width="8.26953125" customWidth="1"/>
    <col min="9" max="9" width="10.54296875" customWidth="1"/>
  </cols>
  <sheetData>
    <row r="1" spans="1:9" ht="21" customHeight="1" x14ac:dyDescent="0.5">
      <c r="A1" s="29" t="s">
        <v>84</v>
      </c>
      <c r="B1" s="29"/>
      <c r="C1" s="29"/>
      <c r="D1" s="29"/>
      <c r="E1" s="29"/>
      <c r="F1" s="29"/>
      <c r="G1" s="29"/>
      <c r="H1" s="29"/>
    </row>
    <row r="2" spans="1:9" ht="21.5" thickBot="1" x14ac:dyDescent="0.55000000000000004">
      <c r="B2" s="17"/>
      <c r="C2" s="17"/>
      <c r="D2" s="17"/>
      <c r="E2" s="17"/>
      <c r="F2" s="17"/>
      <c r="G2" s="17"/>
      <c r="H2" s="17"/>
    </row>
    <row r="3" spans="1:9" x14ac:dyDescent="0.35">
      <c r="A3" s="30"/>
      <c r="B3" s="31"/>
      <c r="C3" s="32" t="s">
        <v>85</v>
      </c>
      <c r="D3" s="33"/>
      <c r="E3" s="33"/>
      <c r="F3" s="33"/>
      <c r="G3" s="33"/>
      <c r="H3" s="34"/>
    </row>
    <row r="4" spans="1:9" ht="15" thickBot="1" x14ac:dyDescent="0.4">
      <c r="A4" s="2" t="s">
        <v>0</v>
      </c>
      <c r="B4" s="2" t="s">
        <v>1</v>
      </c>
      <c r="C4" s="24" t="s">
        <v>86</v>
      </c>
      <c r="D4" s="25" t="s">
        <v>87</v>
      </c>
      <c r="E4" s="25" t="s">
        <v>88</v>
      </c>
      <c r="F4" s="25" t="s">
        <v>89</v>
      </c>
      <c r="G4" s="25" t="s">
        <v>90</v>
      </c>
      <c r="H4" s="26" t="s">
        <v>91</v>
      </c>
      <c r="I4" s="27" t="s">
        <v>13</v>
      </c>
    </row>
    <row r="5" spans="1:9" x14ac:dyDescent="0.35">
      <c r="A5" s="1" t="s">
        <v>24</v>
      </c>
      <c r="B5" s="4" t="s">
        <v>25</v>
      </c>
      <c r="C5" s="28">
        <v>1</v>
      </c>
      <c r="D5" s="28">
        <v>1</v>
      </c>
      <c r="E5" s="28">
        <v>1</v>
      </c>
      <c r="F5" s="28">
        <v>1</v>
      </c>
      <c r="G5" s="28">
        <v>1</v>
      </c>
      <c r="H5" s="28">
        <v>1</v>
      </c>
      <c r="I5">
        <f>SUM(C5:H5)+1</f>
        <v>7</v>
      </c>
    </row>
    <row r="6" spans="1:9" x14ac:dyDescent="0.35">
      <c r="A6" s="1" t="s">
        <v>26</v>
      </c>
      <c r="B6" s="4" t="s">
        <v>27</v>
      </c>
      <c r="C6" s="28">
        <v>1</v>
      </c>
      <c r="D6" s="28">
        <v>1</v>
      </c>
      <c r="E6" s="28">
        <v>1</v>
      </c>
      <c r="F6" s="28">
        <v>1</v>
      </c>
      <c r="G6" s="28">
        <v>1</v>
      </c>
      <c r="H6" s="28">
        <v>1</v>
      </c>
      <c r="I6">
        <f t="shared" ref="I6:I31" si="0">SUM(C6:H6)+1</f>
        <v>7</v>
      </c>
    </row>
    <row r="7" spans="1:9" x14ac:dyDescent="0.35">
      <c r="A7" s="1" t="s">
        <v>28</v>
      </c>
      <c r="B7" s="4" t="s">
        <v>29</v>
      </c>
      <c r="C7" s="28">
        <v>1</v>
      </c>
      <c r="D7" s="28">
        <v>1</v>
      </c>
      <c r="E7" s="28">
        <v>1</v>
      </c>
      <c r="F7" s="28">
        <v>1</v>
      </c>
      <c r="G7" s="28">
        <v>1</v>
      </c>
      <c r="H7" s="28">
        <v>1</v>
      </c>
      <c r="I7">
        <f t="shared" si="0"/>
        <v>7</v>
      </c>
    </row>
    <row r="8" spans="1:9" x14ac:dyDescent="0.35">
      <c r="A8" s="1" t="s">
        <v>30</v>
      </c>
      <c r="B8" s="4" t="s">
        <v>31</v>
      </c>
      <c r="C8" s="28">
        <v>1</v>
      </c>
      <c r="D8" s="28">
        <v>1</v>
      </c>
      <c r="E8" s="28">
        <v>1</v>
      </c>
      <c r="F8" s="28">
        <v>1</v>
      </c>
      <c r="G8" s="28">
        <v>1</v>
      </c>
      <c r="H8" s="28">
        <v>1</v>
      </c>
      <c r="I8">
        <f t="shared" si="0"/>
        <v>7</v>
      </c>
    </row>
    <row r="9" spans="1:9" x14ac:dyDescent="0.35">
      <c r="A9" s="1" t="s">
        <v>32</v>
      </c>
      <c r="B9" s="4" t="s">
        <v>33</v>
      </c>
      <c r="C9" s="28">
        <v>1</v>
      </c>
      <c r="D9" s="28">
        <v>1</v>
      </c>
      <c r="E9" s="28">
        <v>1</v>
      </c>
      <c r="F9" s="28">
        <v>1</v>
      </c>
      <c r="G9" s="28">
        <v>1</v>
      </c>
      <c r="H9" s="28">
        <v>1</v>
      </c>
      <c r="I9">
        <f t="shared" si="0"/>
        <v>7</v>
      </c>
    </row>
    <row r="10" spans="1:9" x14ac:dyDescent="0.35">
      <c r="A10" s="1" t="s">
        <v>34</v>
      </c>
      <c r="B10" s="4" t="s">
        <v>35</v>
      </c>
      <c r="C10" s="28">
        <v>1</v>
      </c>
      <c r="D10" s="28">
        <v>1</v>
      </c>
      <c r="E10" s="28">
        <v>1</v>
      </c>
      <c r="F10" s="28">
        <v>1</v>
      </c>
      <c r="G10" s="28">
        <v>1</v>
      </c>
      <c r="H10" s="28">
        <v>1</v>
      </c>
      <c r="I10">
        <f t="shared" si="0"/>
        <v>7</v>
      </c>
    </row>
    <row r="11" spans="1:9" x14ac:dyDescent="0.35">
      <c r="A11" s="1" t="s">
        <v>36</v>
      </c>
      <c r="B11" s="4" t="s">
        <v>37</v>
      </c>
      <c r="C11" s="28" t="s">
        <v>14</v>
      </c>
      <c r="D11" s="28" t="s">
        <v>14</v>
      </c>
      <c r="E11" s="28" t="s">
        <v>14</v>
      </c>
      <c r="F11" s="28" t="s">
        <v>14</v>
      </c>
      <c r="G11" s="28" t="s">
        <v>14</v>
      </c>
      <c r="H11" s="28" t="s">
        <v>14</v>
      </c>
      <c r="I11">
        <f t="shared" si="0"/>
        <v>1</v>
      </c>
    </row>
    <row r="12" spans="1:9" x14ac:dyDescent="0.35">
      <c r="A12" s="1" t="s">
        <v>38</v>
      </c>
      <c r="B12" s="4" t="s">
        <v>39</v>
      </c>
      <c r="C12" s="28">
        <v>1</v>
      </c>
      <c r="D12" s="28">
        <v>1</v>
      </c>
      <c r="E12" s="28">
        <v>1</v>
      </c>
      <c r="F12" s="28">
        <v>1</v>
      </c>
      <c r="G12" s="28">
        <v>1</v>
      </c>
      <c r="H12" s="28">
        <v>1</v>
      </c>
      <c r="I12">
        <f t="shared" si="0"/>
        <v>7</v>
      </c>
    </row>
    <row r="13" spans="1:9" x14ac:dyDescent="0.35">
      <c r="A13" s="1" t="s">
        <v>40</v>
      </c>
      <c r="B13" s="4" t="s">
        <v>41</v>
      </c>
      <c r="C13" s="28">
        <v>1</v>
      </c>
      <c r="D13" s="28">
        <v>1</v>
      </c>
      <c r="E13" s="28">
        <v>1</v>
      </c>
      <c r="F13" s="28">
        <v>1</v>
      </c>
      <c r="G13" s="28">
        <v>1</v>
      </c>
      <c r="H13" s="28">
        <v>1</v>
      </c>
      <c r="I13">
        <f t="shared" si="0"/>
        <v>7</v>
      </c>
    </row>
    <row r="14" spans="1:9" x14ac:dyDescent="0.35">
      <c r="A14" s="1" t="s">
        <v>42</v>
      </c>
      <c r="B14" s="4" t="s">
        <v>43</v>
      </c>
      <c r="C14" s="28">
        <v>1</v>
      </c>
      <c r="D14" s="28">
        <v>1</v>
      </c>
      <c r="E14" s="28">
        <v>1</v>
      </c>
      <c r="F14" s="28">
        <v>1</v>
      </c>
      <c r="G14" s="28">
        <v>1</v>
      </c>
      <c r="H14" s="28">
        <v>1</v>
      </c>
      <c r="I14">
        <f t="shared" si="0"/>
        <v>7</v>
      </c>
    </row>
    <row r="15" spans="1:9" x14ac:dyDescent="0.35">
      <c r="A15" s="1" t="s">
        <v>44</v>
      </c>
      <c r="B15" s="4" t="s">
        <v>45</v>
      </c>
      <c r="C15" s="28">
        <v>1</v>
      </c>
      <c r="D15" s="28">
        <v>1</v>
      </c>
      <c r="E15" s="28">
        <v>1</v>
      </c>
      <c r="F15" s="28">
        <v>1</v>
      </c>
      <c r="G15" s="28">
        <v>1</v>
      </c>
      <c r="H15" s="28">
        <v>1</v>
      </c>
      <c r="I15">
        <f t="shared" si="0"/>
        <v>7</v>
      </c>
    </row>
    <row r="16" spans="1:9" x14ac:dyDescent="0.35">
      <c r="A16" s="1" t="s">
        <v>46</v>
      </c>
      <c r="B16" s="4" t="s">
        <v>47</v>
      </c>
      <c r="C16" s="28">
        <v>1</v>
      </c>
      <c r="D16" s="28">
        <v>1</v>
      </c>
      <c r="E16" s="28">
        <v>1</v>
      </c>
      <c r="F16" s="28">
        <v>1</v>
      </c>
      <c r="G16" s="28">
        <v>1</v>
      </c>
      <c r="H16" s="28">
        <v>1</v>
      </c>
      <c r="I16">
        <f t="shared" si="0"/>
        <v>7</v>
      </c>
    </row>
    <row r="17" spans="1:9" x14ac:dyDescent="0.35">
      <c r="A17" s="1" t="s">
        <v>48</v>
      </c>
      <c r="B17" s="4" t="s">
        <v>49</v>
      </c>
      <c r="C17" s="28">
        <v>1</v>
      </c>
      <c r="D17" s="28">
        <v>1</v>
      </c>
      <c r="E17" s="28">
        <v>1</v>
      </c>
      <c r="F17" s="28">
        <v>1</v>
      </c>
      <c r="G17" s="28">
        <v>1</v>
      </c>
      <c r="H17" s="28">
        <v>1</v>
      </c>
      <c r="I17">
        <f t="shared" si="0"/>
        <v>7</v>
      </c>
    </row>
    <row r="18" spans="1:9" x14ac:dyDescent="0.35">
      <c r="A18" s="1" t="s">
        <v>50</v>
      </c>
      <c r="B18" s="4" t="s">
        <v>51</v>
      </c>
      <c r="C18" s="28">
        <v>1</v>
      </c>
      <c r="D18" s="28">
        <v>1</v>
      </c>
      <c r="E18" s="28">
        <v>1</v>
      </c>
      <c r="F18" s="28">
        <v>1</v>
      </c>
      <c r="G18" s="28">
        <v>1</v>
      </c>
      <c r="H18" s="28">
        <v>1</v>
      </c>
      <c r="I18">
        <f t="shared" si="0"/>
        <v>7</v>
      </c>
    </row>
    <row r="19" spans="1:9" x14ac:dyDescent="0.35">
      <c r="A19" s="1" t="s">
        <v>52</v>
      </c>
      <c r="B19" s="4" t="s">
        <v>53</v>
      </c>
      <c r="C19" s="28">
        <v>1</v>
      </c>
      <c r="D19" s="28">
        <v>1</v>
      </c>
      <c r="E19" s="28">
        <v>1</v>
      </c>
      <c r="F19" s="28">
        <v>1</v>
      </c>
      <c r="G19" s="28">
        <v>1</v>
      </c>
      <c r="H19" s="28">
        <v>1</v>
      </c>
      <c r="I19">
        <f t="shared" si="0"/>
        <v>7</v>
      </c>
    </row>
    <row r="20" spans="1:9" x14ac:dyDescent="0.35">
      <c r="A20" s="1" t="s">
        <v>54</v>
      </c>
      <c r="B20" s="4" t="s">
        <v>55</v>
      </c>
      <c r="C20" s="28">
        <v>1</v>
      </c>
      <c r="D20" s="28">
        <v>1</v>
      </c>
      <c r="E20" s="28">
        <v>1</v>
      </c>
      <c r="F20" s="28">
        <v>1</v>
      </c>
      <c r="G20" s="28">
        <v>1</v>
      </c>
      <c r="H20" s="28" t="s">
        <v>14</v>
      </c>
      <c r="I20">
        <f t="shared" si="0"/>
        <v>6</v>
      </c>
    </row>
    <row r="21" spans="1:9" x14ac:dyDescent="0.35">
      <c r="A21" s="1" t="s">
        <v>56</v>
      </c>
      <c r="B21" s="4" t="s">
        <v>57</v>
      </c>
      <c r="C21" s="28">
        <v>1</v>
      </c>
      <c r="D21" s="28">
        <v>1</v>
      </c>
      <c r="E21" s="28">
        <v>1</v>
      </c>
      <c r="F21" s="28">
        <v>1</v>
      </c>
      <c r="G21" s="28">
        <v>1</v>
      </c>
      <c r="H21" s="28">
        <v>1</v>
      </c>
      <c r="I21">
        <f t="shared" si="0"/>
        <v>7</v>
      </c>
    </row>
    <row r="22" spans="1:9" x14ac:dyDescent="0.35">
      <c r="A22" s="1" t="s">
        <v>58</v>
      </c>
      <c r="B22" s="4" t="s">
        <v>59</v>
      </c>
      <c r="C22" s="28">
        <v>1</v>
      </c>
      <c r="D22" s="28">
        <v>1</v>
      </c>
      <c r="E22" s="28">
        <v>1</v>
      </c>
      <c r="F22" s="28">
        <v>1</v>
      </c>
      <c r="G22" s="28">
        <v>1</v>
      </c>
      <c r="H22" s="28">
        <v>1</v>
      </c>
      <c r="I22">
        <f t="shared" si="0"/>
        <v>7</v>
      </c>
    </row>
    <row r="23" spans="1:9" x14ac:dyDescent="0.35">
      <c r="A23" s="1" t="s">
        <v>60</v>
      </c>
      <c r="B23" s="4" t="s">
        <v>61</v>
      </c>
      <c r="C23" s="28">
        <v>1</v>
      </c>
      <c r="D23" s="28">
        <v>1</v>
      </c>
      <c r="E23" s="28">
        <v>1</v>
      </c>
      <c r="F23" s="28">
        <v>1</v>
      </c>
      <c r="G23" s="28">
        <v>1</v>
      </c>
      <c r="H23" s="28">
        <v>1</v>
      </c>
      <c r="I23">
        <f t="shared" si="0"/>
        <v>7</v>
      </c>
    </row>
    <row r="24" spans="1:9" x14ac:dyDescent="0.35">
      <c r="A24" s="1" t="s">
        <v>62</v>
      </c>
      <c r="B24" s="4" t="s">
        <v>63</v>
      </c>
      <c r="C24" s="28" t="s">
        <v>14</v>
      </c>
      <c r="D24" s="28" t="s">
        <v>14</v>
      </c>
      <c r="E24" s="28" t="s">
        <v>14</v>
      </c>
      <c r="F24" s="28" t="s">
        <v>14</v>
      </c>
      <c r="G24" s="28" t="s">
        <v>14</v>
      </c>
      <c r="H24" s="28" t="s">
        <v>14</v>
      </c>
      <c r="I24">
        <f t="shared" si="0"/>
        <v>1</v>
      </c>
    </row>
    <row r="25" spans="1:9" x14ac:dyDescent="0.35">
      <c r="A25" s="1" t="s">
        <v>64</v>
      </c>
      <c r="B25" s="4" t="s">
        <v>65</v>
      </c>
      <c r="C25" s="28">
        <v>1</v>
      </c>
      <c r="D25" s="28">
        <v>1</v>
      </c>
      <c r="E25" s="28">
        <v>1</v>
      </c>
      <c r="F25" s="28">
        <v>1</v>
      </c>
      <c r="G25" s="28">
        <v>1</v>
      </c>
      <c r="H25" s="28">
        <v>1</v>
      </c>
      <c r="I25">
        <f t="shared" si="0"/>
        <v>7</v>
      </c>
    </row>
    <row r="26" spans="1:9" x14ac:dyDescent="0.35">
      <c r="A26" s="1" t="s">
        <v>66</v>
      </c>
      <c r="B26" s="4" t="s">
        <v>67</v>
      </c>
      <c r="C26" s="28">
        <v>1</v>
      </c>
      <c r="D26" s="28">
        <v>1</v>
      </c>
      <c r="E26" s="28">
        <v>1</v>
      </c>
      <c r="F26" s="28">
        <v>1</v>
      </c>
      <c r="G26" s="28">
        <v>1</v>
      </c>
      <c r="H26" s="28">
        <v>1</v>
      </c>
      <c r="I26">
        <f t="shared" si="0"/>
        <v>7</v>
      </c>
    </row>
    <row r="27" spans="1:9" x14ac:dyDescent="0.35">
      <c r="A27" s="1" t="s">
        <v>68</v>
      </c>
      <c r="B27" s="4" t="s">
        <v>69</v>
      </c>
      <c r="C27" s="28" t="s">
        <v>14</v>
      </c>
      <c r="D27" s="28" t="s">
        <v>14</v>
      </c>
      <c r="E27" s="28" t="s">
        <v>14</v>
      </c>
      <c r="F27" s="28" t="s">
        <v>14</v>
      </c>
      <c r="G27" s="28" t="s">
        <v>14</v>
      </c>
      <c r="H27" s="28" t="s">
        <v>14</v>
      </c>
      <c r="I27">
        <f t="shared" si="0"/>
        <v>1</v>
      </c>
    </row>
    <row r="28" spans="1:9" x14ac:dyDescent="0.35">
      <c r="A28" s="1" t="s">
        <v>70</v>
      </c>
      <c r="B28" s="4" t="s">
        <v>71</v>
      </c>
      <c r="C28" s="28">
        <v>1</v>
      </c>
      <c r="D28" s="28">
        <v>1</v>
      </c>
      <c r="E28" s="28">
        <v>1</v>
      </c>
      <c r="F28" s="28">
        <v>1</v>
      </c>
      <c r="G28" s="28">
        <v>1</v>
      </c>
      <c r="H28" s="28">
        <v>1</v>
      </c>
      <c r="I28">
        <f t="shared" si="0"/>
        <v>7</v>
      </c>
    </row>
    <row r="29" spans="1:9" x14ac:dyDescent="0.35">
      <c r="A29" s="1" t="s">
        <v>72</v>
      </c>
      <c r="B29" s="4" t="s">
        <v>73</v>
      </c>
      <c r="C29" s="28">
        <v>1</v>
      </c>
      <c r="D29" s="28">
        <v>1</v>
      </c>
      <c r="E29" s="28">
        <v>1</v>
      </c>
      <c r="F29" s="28">
        <v>1</v>
      </c>
      <c r="G29" s="28">
        <v>1</v>
      </c>
      <c r="H29" s="28">
        <v>1</v>
      </c>
      <c r="I29">
        <f t="shared" si="0"/>
        <v>7</v>
      </c>
    </row>
    <row r="30" spans="1:9" x14ac:dyDescent="0.35">
      <c r="A30" s="1" t="s">
        <v>74</v>
      </c>
      <c r="B30" s="4" t="s">
        <v>75</v>
      </c>
      <c r="C30" s="28">
        <v>1</v>
      </c>
      <c r="D30" s="28">
        <v>1</v>
      </c>
      <c r="E30" s="28">
        <v>1</v>
      </c>
      <c r="F30" s="28">
        <v>1</v>
      </c>
      <c r="G30" s="28">
        <v>1</v>
      </c>
      <c r="H30" s="28">
        <v>1</v>
      </c>
      <c r="I30">
        <f t="shared" si="0"/>
        <v>7</v>
      </c>
    </row>
    <row r="31" spans="1:9" x14ac:dyDescent="0.35">
      <c r="A31" s="1" t="s">
        <v>76</v>
      </c>
      <c r="B31" s="4" t="s">
        <v>77</v>
      </c>
      <c r="C31" s="28">
        <v>1</v>
      </c>
      <c r="D31" s="28">
        <v>1</v>
      </c>
      <c r="E31" s="28">
        <v>1</v>
      </c>
      <c r="F31" s="28">
        <v>1</v>
      </c>
      <c r="G31" s="28">
        <v>1</v>
      </c>
      <c r="H31" s="28">
        <v>1</v>
      </c>
      <c r="I31">
        <f t="shared" si="0"/>
        <v>7</v>
      </c>
    </row>
  </sheetData>
  <mergeCells count="3">
    <mergeCell ref="A1:H1"/>
    <mergeCell ref="A3:B3"/>
    <mergeCell ref="C3:H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43996-2CD3-4114-8F97-4918BADE89F1}">
  <dimension ref="A1:G31"/>
  <sheetViews>
    <sheetView workbookViewId="0">
      <selection activeCell="B33" sqref="B33"/>
    </sheetView>
  </sheetViews>
  <sheetFormatPr baseColWidth="10" defaultColWidth="34.54296875" defaultRowHeight="14.5" x14ac:dyDescent="0.35"/>
  <cols>
    <col min="1" max="1" width="42.54296875" customWidth="1"/>
    <col min="2" max="2" width="36.54296875" bestFit="1" customWidth="1"/>
    <col min="3" max="6" width="9.54296875" style="21" customWidth="1"/>
    <col min="7" max="7" width="7.81640625" style="23" customWidth="1"/>
  </cols>
  <sheetData>
    <row r="1" spans="1:7" ht="21" customHeight="1" x14ac:dyDescent="0.5">
      <c r="A1" s="29" t="s">
        <v>78</v>
      </c>
      <c r="B1" s="29"/>
      <c r="C1" s="29"/>
      <c r="D1" s="29"/>
      <c r="E1" s="29"/>
      <c r="F1" s="29"/>
      <c r="G1" s="29"/>
    </row>
    <row r="2" spans="1:7" ht="21" x14ac:dyDescent="0.5">
      <c r="B2" s="16"/>
      <c r="C2" s="18"/>
      <c r="D2" s="18"/>
      <c r="E2" s="18"/>
      <c r="F2" s="18"/>
      <c r="G2" s="5"/>
    </row>
    <row r="3" spans="1:7" x14ac:dyDescent="0.35">
      <c r="A3" s="30"/>
      <c r="B3" s="31"/>
      <c r="C3" s="35" t="s">
        <v>3</v>
      </c>
      <c r="D3" s="35"/>
      <c r="E3" s="35"/>
      <c r="F3" s="35"/>
      <c r="G3" s="36" t="s">
        <v>13</v>
      </c>
    </row>
    <row r="4" spans="1:7" x14ac:dyDescent="0.35">
      <c r="A4" s="2" t="s">
        <v>0</v>
      </c>
      <c r="B4" s="2" t="s">
        <v>1</v>
      </c>
      <c r="C4" s="19">
        <v>1</v>
      </c>
      <c r="D4" s="19">
        <v>2</v>
      </c>
      <c r="E4" s="19">
        <v>3</v>
      </c>
      <c r="F4" s="19">
        <v>4</v>
      </c>
      <c r="G4" s="36"/>
    </row>
    <row r="5" spans="1:7" x14ac:dyDescent="0.35">
      <c r="A5" s="1" t="s">
        <v>24</v>
      </c>
      <c r="B5" s="4" t="s">
        <v>25</v>
      </c>
      <c r="C5" s="20">
        <v>1</v>
      </c>
      <c r="D5" s="20">
        <v>1</v>
      </c>
      <c r="E5" s="20">
        <v>1</v>
      </c>
      <c r="F5" s="20">
        <v>1</v>
      </c>
      <c r="G5" s="22">
        <f>ROUND(6*SUM(C5:F5)/4 +1,1)</f>
        <v>7</v>
      </c>
    </row>
    <row r="6" spans="1:7" x14ac:dyDescent="0.35">
      <c r="A6" s="1" t="s">
        <v>26</v>
      </c>
      <c r="B6" s="4" t="s">
        <v>27</v>
      </c>
      <c r="C6" s="20">
        <v>1</v>
      </c>
      <c r="D6" s="20">
        <v>1</v>
      </c>
      <c r="E6" s="20">
        <v>1</v>
      </c>
      <c r="F6" s="20">
        <v>1</v>
      </c>
      <c r="G6" s="22">
        <f t="shared" ref="G6:G31" si="0">ROUND(6*SUM(C6:F6)/4 +1,1)</f>
        <v>7</v>
      </c>
    </row>
    <row r="7" spans="1:7" x14ac:dyDescent="0.35">
      <c r="A7" s="1" t="s">
        <v>28</v>
      </c>
      <c r="B7" s="4" t="s">
        <v>29</v>
      </c>
      <c r="C7" s="20">
        <v>1</v>
      </c>
      <c r="D7" s="20">
        <v>1</v>
      </c>
      <c r="E7" s="20">
        <v>1</v>
      </c>
      <c r="F7" s="20">
        <v>1</v>
      </c>
      <c r="G7" s="22">
        <f t="shared" si="0"/>
        <v>7</v>
      </c>
    </row>
    <row r="8" spans="1:7" x14ac:dyDescent="0.35">
      <c r="A8" s="1" t="s">
        <v>30</v>
      </c>
      <c r="B8" s="4" t="s">
        <v>31</v>
      </c>
      <c r="C8" s="20">
        <v>1</v>
      </c>
      <c r="D8" s="20">
        <v>1</v>
      </c>
      <c r="E8" s="20">
        <f>2/3</f>
        <v>0.66666666666666663</v>
      </c>
      <c r="F8" s="20">
        <v>0</v>
      </c>
      <c r="G8" s="22">
        <f t="shared" si="0"/>
        <v>5</v>
      </c>
    </row>
    <row r="9" spans="1:7" x14ac:dyDescent="0.35">
      <c r="A9" s="1" t="s">
        <v>32</v>
      </c>
      <c r="B9" s="4" t="s">
        <v>33</v>
      </c>
      <c r="C9" s="20">
        <v>1</v>
      </c>
      <c r="D9" s="20">
        <v>1</v>
      </c>
      <c r="E9" s="20">
        <v>1</v>
      </c>
      <c r="F9" s="20">
        <v>1</v>
      </c>
      <c r="G9" s="22">
        <f t="shared" si="0"/>
        <v>7</v>
      </c>
    </row>
    <row r="10" spans="1:7" x14ac:dyDescent="0.35">
      <c r="A10" s="1" t="s">
        <v>34</v>
      </c>
      <c r="B10" s="4" t="s">
        <v>35</v>
      </c>
      <c r="C10" s="20">
        <v>1</v>
      </c>
      <c r="D10" s="20">
        <v>1</v>
      </c>
      <c r="E10" s="20">
        <v>1</v>
      </c>
      <c r="F10" s="20">
        <v>1</v>
      </c>
      <c r="G10" s="22">
        <f t="shared" si="0"/>
        <v>7</v>
      </c>
    </row>
    <row r="11" spans="1:7" x14ac:dyDescent="0.35">
      <c r="A11" s="1" t="s">
        <v>36</v>
      </c>
      <c r="B11" s="4" t="s">
        <v>37</v>
      </c>
      <c r="C11" s="20">
        <v>1</v>
      </c>
      <c r="D11" s="20">
        <v>1</v>
      </c>
      <c r="E11" s="20">
        <v>1</v>
      </c>
      <c r="F11" s="20">
        <v>1</v>
      </c>
      <c r="G11" s="22">
        <f t="shared" si="0"/>
        <v>7</v>
      </c>
    </row>
    <row r="12" spans="1:7" x14ac:dyDescent="0.35">
      <c r="A12" s="1" t="s">
        <v>38</v>
      </c>
      <c r="B12" s="4" t="s">
        <v>39</v>
      </c>
      <c r="C12" s="20">
        <v>1</v>
      </c>
      <c r="D12" s="20">
        <v>1</v>
      </c>
      <c r="E12" s="20">
        <v>1</v>
      </c>
      <c r="F12" s="20">
        <v>1</v>
      </c>
      <c r="G12" s="22">
        <f t="shared" si="0"/>
        <v>7</v>
      </c>
    </row>
    <row r="13" spans="1:7" x14ac:dyDescent="0.35">
      <c r="A13" s="1" t="s">
        <v>40</v>
      </c>
      <c r="B13" s="4" t="s">
        <v>41</v>
      </c>
      <c r="C13" s="20">
        <v>1</v>
      </c>
      <c r="D13" s="20">
        <v>1</v>
      </c>
      <c r="E13" s="20">
        <v>1</v>
      </c>
      <c r="F13" s="20">
        <v>1</v>
      </c>
      <c r="G13" s="22">
        <f t="shared" si="0"/>
        <v>7</v>
      </c>
    </row>
    <row r="14" spans="1:7" x14ac:dyDescent="0.35">
      <c r="A14" s="1" t="s">
        <v>42</v>
      </c>
      <c r="B14" s="4" t="s">
        <v>43</v>
      </c>
      <c r="C14" s="20">
        <v>1</v>
      </c>
      <c r="D14" s="20">
        <v>1</v>
      </c>
      <c r="E14" s="20">
        <v>1</v>
      </c>
      <c r="F14" s="20">
        <v>1</v>
      </c>
      <c r="G14" s="22">
        <f t="shared" si="0"/>
        <v>7</v>
      </c>
    </row>
    <row r="15" spans="1:7" x14ac:dyDescent="0.35">
      <c r="A15" s="1" t="s">
        <v>44</v>
      </c>
      <c r="B15" s="4" t="s">
        <v>45</v>
      </c>
      <c r="C15" s="20" t="s">
        <v>14</v>
      </c>
      <c r="D15" s="20" t="s">
        <v>14</v>
      </c>
      <c r="E15" s="20" t="s">
        <v>14</v>
      </c>
      <c r="F15" s="20" t="s">
        <v>14</v>
      </c>
      <c r="G15" s="22"/>
    </row>
    <row r="16" spans="1:7" x14ac:dyDescent="0.35">
      <c r="A16" s="1" t="s">
        <v>46</v>
      </c>
      <c r="B16" s="4" t="s">
        <v>47</v>
      </c>
      <c r="C16" s="20">
        <v>1</v>
      </c>
      <c r="D16" s="20">
        <v>1</v>
      </c>
      <c r="E16" s="20">
        <v>1</v>
      </c>
      <c r="F16" s="20">
        <v>1</v>
      </c>
      <c r="G16" s="22">
        <f t="shared" si="0"/>
        <v>7</v>
      </c>
    </row>
    <row r="17" spans="1:7" x14ac:dyDescent="0.35">
      <c r="A17" s="1" t="s">
        <v>48</v>
      </c>
      <c r="B17" s="4" t="s">
        <v>49</v>
      </c>
      <c r="C17" s="20">
        <v>1</v>
      </c>
      <c r="D17" s="20">
        <v>1</v>
      </c>
      <c r="E17" s="20">
        <v>1</v>
      </c>
      <c r="F17" s="20">
        <v>1</v>
      </c>
      <c r="G17" s="22">
        <f t="shared" si="0"/>
        <v>7</v>
      </c>
    </row>
    <row r="18" spans="1:7" x14ac:dyDescent="0.35">
      <c r="A18" s="1" t="s">
        <v>50</v>
      </c>
      <c r="B18" s="4" t="s">
        <v>51</v>
      </c>
      <c r="C18" s="20">
        <v>1</v>
      </c>
      <c r="D18" s="20">
        <v>1</v>
      </c>
      <c r="E18" s="20">
        <f>2/3</f>
        <v>0.66666666666666663</v>
      </c>
      <c r="F18" s="20">
        <f>3/4</f>
        <v>0.75</v>
      </c>
      <c r="G18" s="22">
        <f t="shared" si="0"/>
        <v>6.1</v>
      </c>
    </row>
    <row r="19" spans="1:7" x14ac:dyDescent="0.35">
      <c r="A19" s="1" t="s">
        <v>52</v>
      </c>
      <c r="B19" s="4" t="s">
        <v>53</v>
      </c>
      <c r="C19" s="20">
        <v>1</v>
      </c>
      <c r="D19" s="20">
        <v>1</v>
      </c>
      <c r="E19" s="20">
        <f>2/3</f>
        <v>0.66666666666666663</v>
      </c>
      <c r="F19" s="20">
        <v>1</v>
      </c>
      <c r="G19" s="22">
        <f t="shared" si="0"/>
        <v>6.5</v>
      </c>
    </row>
    <row r="20" spans="1:7" x14ac:dyDescent="0.35">
      <c r="A20" s="1" t="s">
        <v>54</v>
      </c>
      <c r="B20" s="4" t="s">
        <v>55</v>
      </c>
      <c r="C20" s="20">
        <v>1</v>
      </c>
      <c r="D20" s="20">
        <v>1</v>
      </c>
      <c r="E20" s="20"/>
      <c r="F20" s="20">
        <v>1</v>
      </c>
      <c r="G20" s="22">
        <f t="shared" si="0"/>
        <v>5.5</v>
      </c>
    </row>
    <row r="21" spans="1:7" x14ac:dyDescent="0.35">
      <c r="A21" s="1" t="s">
        <v>56</v>
      </c>
      <c r="B21" s="4" t="s">
        <v>57</v>
      </c>
      <c r="C21" s="20">
        <v>1</v>
      </c>
      <c r="D21" s="20">
        <v>1</v>
      </c>
      <c r="E21" s="20">
        <v>1</v>
      </c>
      <c r="F21" s="20">
        <v>1</v>
      </c>
      <c r="G21" s="22">
        <f t="shared" si="0"/>
        <v>7</v>
      </c>
    </row>
    <row r="22" spans="1:7" x14ac:dyDescent="0.35">
      <c r="A22" s="1" t="s">
        <v>58</v>
      </c>
      <c r="B22" s="4" t="s">
        <v>59</v>
      </c>
      <c r="C22" s="20">
        <f>0.8</f>
        <v>0.8</v>
      </c>
      <c r="D22" s="20">
        <v>1</v>
      </c>
      <c r="E22" s="20">
        <f>2/3</f>
        <v>0.66666666666666663</v>
      </c>
      <c r="F22" s="20">
        <v>1</v>
      </c>
      <c r="G22" s="22">
        <f t="shared" si="0"/>
        <v>6.2</v>
      </c>
    </row>
    <row r="23" spans="1:7" x14ac:dyDescent="0.35">
      <c r="A23" s="1" t="s">
        <v>60</v>
      </c>
      <c r="B23" s="4" t="s">
        <v>61</v>
      </c>
      <c r="C23" s="20">
        <v>1</v>
      </c>
      <c r="D23" s="20">
        <v>1</v>
      </c>
      <c r="E23" s="20">
        <v>1</v>
      </c>
      <c r="F23" s="20">
        <v>1</v>
      </c>
      <c r="G23" s="22">
        <f t="shared" si="0"/>
        <v>7</v>
      </c>
    </row>
    <row r="24" spans="1:7" x14ac:dyDescent="0.35">
      <c r="A24" s="1" t="s">
        <v>62</v>
      </c>
      <c r="B24" s="4" t="s">
        <v>63</v>
      </c>
      <c r="C24" s="20">
        <v>1</v>
      </c>
      <c r="D24" s="20">
        <v>1</v>
      </c>
      <c r="E24" s="20">
        <v>1</v>
      </c>
      <c r="F24" s="20">
        <v>1</v>
      </c>
      <c r="G24" s="22">
        <f t="shared" si="0"/>
        <v>7</v>
      </c>
    </row>
    <row r="25" spans="1:7" x14ac:dyDescent="0.35">
      <c r="A25" s="1" t="s">
        <v>64</v>
      </c>
      <c r="B25" s="4" t="s">
        <v>65</v>
      </c>
      <c r="C25" s="20">
        <v>1</v>
      </c>
      <c r="D25" s="20">
        <v>1</v>
      </c>
      <c r="E25" s="20">
        <v>1</v>
      </c>
      <c r="F25" s="20">
        <v>1</v>
      </c>
      <c r="G25" s="22">
        <f t="shared" si="0"/>
        <v>7</v>
      </c>
    </row>
    <row r="26" spans="1:7" x14ac:dyDescent="0.35">
      <c r="A26" s="1" t="s">
        <v>66</v>
      </c>
      <c r="B26" s="4" t="s">
        <v>67</v>
      </c>
      <c r="C26" s="20"/>
      <c r="D26" s="20">
        <v>1</v>
      </c>
      <c r="E26" s="20">
        <f>2/3</f>
        <v>0.66666666666666663</v>
      </c>
      <c r="F26" s="20">
        <v>0.8</v>
      </c>
      <c r="G26" s="22">
        <f t="shared" si="0"/>
        <v>4.7</v>
      </c>
    </row>
    <row r="27" spans="1:7" x14ac:dyDescent="0.35">
      <c r="A27" s="1" t="s">
        <v>68</v>
      </c>
      <c r="B27" s="4" t="s">
        <v>69</v>
      </c>
      <c r="C27" s="20" t="s">
        <v>14</v>
      </c>
      <c r="D27" s="20" t="s">
        <v>14</v>
      </c>
      <c r="E27" s="20" t="s">
        <v>14</v>
      </c>
      <c r="F27" s="20" t="s">
        <v>14</v>
      </c>
      <c r="G27" s="22">
        <v>7</v>
      </c>
    </row>
    <row r="28" spans="1:7" x14ac:dyDescent="0.35">
      <c r="A28" s="1" t="s">
        <v>70</v>
      </c>
      <c r="B28" s="4" t="s">
        <v>71</v>
      </c>
      <c r="C28" s="20">
        <v>1</v>
      </c>
      <c r="D28" s="20">
        <v>1</v>
      </c>
      <c r="E28" s="20">
        <v>1</v>
      </c>
      <c r="F28" s="20">
        <v>1</v>
      </c>
      <c r="G28" s="22">
        <f t="shared" si="0"/>
        <v>7</v>
      </c>
    </row>
    <row r="29" spans="1:7" x14ac:dyDescent="0.35">
      <c r="A29" s="1" t="s">
        <v>72</v>
      </c>
      <c r="B29" s="4" t="s">
        <v>73</v>
      </c>
      <c r="C29" s="20">
        <v>1</v>
      </c>
      <c r="D29" s="20">
        <v>1</v>
      </c>
      <c r="E29" s="20">
        <v>1</v>
      </c>
      <c r="F29" s="20">
        <v>1</v>
      </c>
      <c r="G29" s="22">
        <f t="shared" si="0"/>
        <v>7</v>
      </c>
    </row>
    <row r="30" spans="1:7" x14ac:dyDescent="0.35">
      <c r="A30" s="1" t="s">
        <v>74</v>
      </c>
      <c r="B30" s="4" t="s">
        <v>75</v>
      </c>
      <c r="C30" s="20">
        <v>1</v>
      </c>
      <c r="D30" s="20">
        <v>1</v>
      </c>
      <c r="E30" s="20">
        <v>1</v>
      </c>
      <c r="F30" s="20">
        <v>1</v>
      </c>
      <c r="G30" s="22">
        <f t="shared" si="0"/>
        <v>7</v>
      </c>
    </row>
    <row r="31" spans="1:7" x14ac:dyDescent="0.35">
      <c r="A31" s="1" t="s">
        <v>76</v>
      </c>
      <c r="B31" s="4" t="s">
        <v>77</v>
      </c>
      <c r="C31" s="20">
        <f>3/4</f>
        <v>0.75</v>
      </c>
      <c r="D31" s="20">
        <v>1</v>
      </c>
      <c r="E31" s="20">
        <v>1</v>
      </c>
      <c r="F31" s="20">
        <v>1</v>
      </c>
      <c r="G31" s="22">
        <f t="shared" si="0"/>
        <v>6.6</v>
      </c>
    </row>
  </sheetData>
  <mergeCells count="4">
    <mergeCell ref="A1:G1"/>
    <mergeCell ref="A3:B3"/>
    <mergeCell ref="C3:F3"/>
    <mergeCell ref="G3:G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C2611-AFBF-49CC-AD07-F4409D7EC961}">
  <dimension ref="B1:S32"/>
  <sheetViews>
    <sheetView workbookViewId="0">
      <selection activeCell="S28" sqref="S28"/>
    </sheetView>
  </sheetViews>
  <sheetFormatPr baseColWidth="10" defaultColWidth="28.81640625" defaultRowHeight="14.5" x14ac:dyDescent="0.35"/>
  <cols>
    <col min="1" max="1" width="4.1796875" customWidth="1"/>
    <col min="2" max="2" width="39.453125" bestFit="1" customWidth="1"/>
    <col min="3" max="3" width="38.26953125" bestFit="1" customWidth="1"/>
    <col min="4" max="18" width="6.26953125" customWidth="1"/>
    <col min="19" max="19" width="10.1796875" style="5" customWidth="1"/>
    <col min="20" max="20" width="12" customWidth="1"/>
  </cols>
  <sheetData>
    <row r="1" spans="2:19" ht="21" x14ac:dyDescent="0.5">
      <c r="B1" s="29" t="s">
        <v>82</v>
      </c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16"/>
      <c r="R1" s="16"/>
    </row>
    <row r="2" spans="2:19" ht="21" x14ac:dyDescent="0.5"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</row>
    <row r="3" spans="2:19" x14ac:dyDescent="0.35">
      <c r="B3" s="1"/>
      <c r="C3" s="1"/>
      <c r="D3" s="37" t="s">
        <v>3</v>
      </c>
      <c r="E3" s="37"/>
      <c r="F3" s="37"/>
      <c r="G3" s="37"/>
      <c r="H3" s="37"/>
      <c r="I3" s="37"/>
      <c r="J3" s="37"/>
      <c r="K3" s="37"/>
      <c r="L3" s="37" t="s">
        <v>4</v>
      </c>
      <c r="M3" s="37"/>
      <c r="N3" s="37"/>
      <c r="O3" s="37"/>
      <c r="P3" s="37"/>
      <c r="Q3" s="39" t="s">
        <v>79</v>
      </c>
      <c r="R3" s="40"/>
      <c r="S3" s="36" t="s">
        <v>13</v>
      </c>
    </row>
    <row r="4" spans="2:19" x14ac:dyDescent="0.35">
      <c r="B4" s="2" t="s">
        <v>0</v>
      </c>
      <c r="C4" s="2" t="s">
        <v>1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15</v>
      </c>
      <c r="I4" s="3" t="s">
        <v>16</v>
      </c>
      <c r="J4" s="3" t="s">
        <v>17</v>
      </c>
      <c r="K4" s="3" t="s">
        <v>18</v>
      </c>
      <c r="L4" s="3" t="s">
        <v>9</v>
      </c>
      <c r="M4" s="3" t="s">
        <v>10</v>
      </c>
      <c r="N4" s="3" t="s">
        <v>11</v>
      </c>
      <c r="O4" s="3" t="s">
        <v>12</v>
      </c>
      <c r="P4" s="3" t="s">
        <v>19</v>
      </c>
      <c r="Q4" s="3" t="s">
        <v>80</v>
      </c>
      <c r="R4" s="3" t="s">
        <v>81</v>
      </c>
      <c r="S4" s="36"/>
    </row>
    <row r="5" spans="2:19" ht="16.5" customHeight="1" x14ac:dyDescent="0.35">
      <c r="B5" s="1" t="s">
        <v>24</v>
      </c>
      <c r="C5" s="4" t="s">
        <v>25</v>
      </c>
      <c r="D5" s="1">
        <v>1</v>
      </c>
      <c r="E5" s="1">
        <v>1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K5" s="1">
        <v>1</v>
      </c>
      <c r="L5" s="1">
        <v>1</v>
      </c>
      <c r="M5" s="1">
        <v>1</v>
      </c>
      <c r="N5" s="1">
        <v>1</v>
      </c>
      <c r="O5" s="1">
        <v>1</v>
      </c>
      <c r="P5" s="1">
        <v>1</v>
      </c>
      <c r="Q5" s="1">
        <v>1</v>
      </c>
      <c r="R5" s="1">
        <v>1</v>
      </c>
      <c r="S5" s="6">
        <f>ROUND(6*SUM(D5:R5)/15 +1,1)</f>
        <v>7</v>
      </c>
    </row>
    <row r="6" spans="2:19" ht="16.5" customHeight="1" x14ac:dyDescent="0.35">
      <c r="B6" s="1" t="s">
        <v>26</v>
      </c>
      <c r="C6" s="4" t="s">
        <v>27</v>
      </c>
      <c r="D6" s="1">
        <v>1</v>
      </c>
      <c r="E6" s="1">
        <v>1</v>
      </c>
      <c r="F6" s="1">
        <v>1</v>
      </c>
      <c r="G6" s="1">
        <v>1</v>
      </c>
      <c r="H6" s="1">
        <v>1</v>
      </c>
      <c r="I6" s="1">
        <v>1</v>
      </c>
      <c r="J6" s="1">
        <v>1</v>
      </c>
      <c r="K6" s="1">
        <v>1</v>
      </c>
      <c r="L6" s="1">
        <v>1</v>
      </c>
      <c r="M6" s="1">
        <v>1</v>
      </c>
      <c r="N6" s="1">
        <v>1</v>
      </c>
      <c r="O6" s="1">
        <v>1</v>
      </c>
      <c r="P6" s="1">
        <v>1</v>
      </c>
      <c r="Q6" s="1">
        <v>1</v>
      </c>
      <c r="R6" s="1">
        <v>1</v>
      </c>
      <c r="S6" s="6">
        <f t="shared" ref="S6:S31" si="0">ROUND(6*SUM(D6:R6)/15 +1,1)</f>
        <v>7</v>
      </c>
    </row>
    <row r="7" spans="2:19" ht="16.5" customHeight="1" x14ac:dyDescent="0.35">
      <c r="B7" s="1" t="s">
        <v>28</v>
      </c>
      <c r="C7" s="4" t="s">
        <v>29</v>
      </c>
      <c r="D7" s="1">
        <v>1</v>
      </c>
      <c r="E7" s="1">
        <v>1</v>
      </c>
      <c r="F7" s="1">
        <v>1</v>
      </c>
      <c r="G7" s="1">
        <v>1</v>
      </c>
      <c r="H7" s="1">
        <v>1</v>
      </c>
      <c r="I7" s="1">
        <v>1</v>
      </c>
      <c r="J7" s="1">
        <v>1</v>
      </c>
      <c r="K7" s="1">
        <v>1</v>
      </c>
      <c r="L7" s="1">
        <v>1</v>
      </c>
      <c r="M7" s="1">
        <v>1</v>
      </c>
      <c r="N7" s="1">
        <v>1</v>
      </c>
      <c r="O7" s="1">
        <v>1</v>
      </c>
      <c r="P7" s="1">
        <v>1</v>
      </c>
      <c r="Q7" s="1">
        <v>1</v>
      </c>
      <c r="R7" s="1">
        <v>1</v>
      </c>
      <c r="S7" s="6">
        <f t="shared" si="0"/>
        <v>7</v>
      </c>
    </row>
    <row r="8" spans="2:19" ht="16.5" customHeight="1" x14ac:dyDescent="0.35">
      <c r="B8" s="1" t="s">
        <v>30</v>
      </c>
      <c r="C8" s="4" t="s">
        <v>31</v>
      </c>
      <c r="D8" s="1">
        <v>1</v>
      </c>
      <c r="E8" s="1">
        <v>1</v>
      </c>
      <c r="F8" s="1">
        <v>1</v>
      </c>
      <c r="G8" s="1">
        <v>1</v>
      </c>
      <c r="H8" s="1">
        <v>1</v>
      </c>
      <c r="I8" s="1">
        <v>1</v>
      </c>
      <c r="J8" s="1">
        <v>1</v>
      </c>
      <c r="K8" s="1">
        <v>1</v>
      </c>
      <c r="L8" s="1"/>
      <c r="M8" s="1"/>
      <c r="N8" s="1"/>
      <c r="O8" s="1"/>
      <c r="P8" s="1"/>
      <c r="Q8" s="1">
        <v>1</v>
      </c>
      <c r="R8" s="1">
        <v>1</v>
      </c>
      <c r="S8" s="6">
        <f t="shared" si="0"/>
        <v>5</v>
      </c>
    </row>
    <row r="9" spans="2:19" ht="16.5" customHeight="1" x14ac:dyDescent="0.35">
      <c r="B9" s="1" t="s">
        <v>32</v>
      </c>
      <c r="C9" s="4" t="s">
        <v>33</v>
      </c>
      <c r="D9" s="1">
        <v>1</v>
      </c>
      <c r="E9" s="1">
        <v>1</v>
      </c>
      <c r="F9" s="1">
        <v>1</v>
      </c>
      <c r="G9" s="1">
        <v>1</v>
      </c>
      <c r="H9" s="1">
        <v>1</v>
      </c>
      <c r="I9" s="1">
        <v>1</v>
      </c>
      <c r="J9" s="1">
        <v>1</v>
      </c>
      <c r="K9" s="1">
        <v>1</v>
      </c>
      <c r="L9" s="1">
        <v>1</v>
      </c>
      <c r="M9" s="1">
        <v>1</v>
      </c>
      <c r="N9" s="1">
        <v>1</v>
      </c>
      <c r="O9" s="1">
        <v>1</v>
      </c>
      <c r="P9" s="1">
        <v>1</v>
      </c>
      <c r="Q9" s="1">
        <v>1</v>
      </c>
      <c r="R9" s="1">
        <v>1</v>
      </c>
      <c r="S9" s="6">
        <f t="shared" si="0"/>
        <v>7</v>
      </c>
    </row>
    <row r="10" spans="2:19" ht="16.5" customHeight="1" x14ac:dyDescent="0.35">
      <c r="B10" s="1" t="s">
        <v>34</v>
      </c>
      <c r="C10" s="4" t="s">
        <v>35</v>
      </c>
      <c r="D10" s="1">
        <v>1</v>
      </c>
      <c r="E10" s="1">
        <v>1</v>
      </c>
      <c r="F10" s="1">
        <v>1</v>
      </c>
      <c r="G10" s="1">
        <v>1</v>
      </c>
      <c r="H10" s="1">
        <v>1</v>
      </c>
      <c r="I10" s="1">
        <v>1</v>
      </c>
      <c r="J10" s="1">
        <v>1</v>
      </c>
      <c r="K10" s="1">
        <v>1</v>
      </c>
      <c r="L10" s="1">
        <v>1</v>
      </c>
      <c r="M10" s="1">
        <v>1</v>
      </c>
      <c r="N10" s="1">
        <v>1</v>
      </c>
      <c r="O10" s="1">
        <v>1</v>
      </c>
      <c r="P10" s="1">
        <v>1</v>
      </c>
      <c r="Q10" s="1"/>
      <c r="R10" s="1"/>
      <c r="S10" s="6">
        <f t="shared" si="0"/>
        <v>6.2</v>
      </c>
    </row>
    <row r="11" spans="2:19" ht="16.5" customHeight="1" x14ac:dyDescent="0.35">
      <c r="B11" s="1" t="s">
        <v>36</v>
      </c>
      <c r="C11" s="4" t="s">
        <v>37</v>
      </c>
      <c r="D11" s="1">
        <v>1</v>
      </c>
      <c r="E11" s="1">
        <v>0.5</v>
      </c>
      <c r="F11" s="1">
        <v>1</v>
      </c>
      <c r="G11" s="1"/>
      <c r="H11" s="1">
        <v>1</v>
      </c>
      <c r="I11" s="1">
        <v>1</v>
      </c>
      <c r="J11" s="1">
        <v>1</v>
      </c>
      <c r="K11" s="1">
        <v>1</v>
      </c>
      <c r="L11" s="1">
        <v>1</v>
      </c>
      <c r="M11" s="1">
        <v>1</v>
      </c>
      <c r="N11" s="1">
        <v>1</v>
      </c>
      <c r="O11" s="1">
        <v>1</v>
      </c>
      <c r="P11" s="1">
        <v>1</v>
      </c>
      <c r="Q11" s="1">
        <v>1</v>
      </c>
      <c r="R11" s="1">
        <v>1</v>
      </c>
      <c r="S11" s="6">
        <f t="shared" si="0"/>
        <v>6.4</v>
      </c>
    </row>
    <row r="12" spans="2:19" ht="16.5" customHeight="1" x14ac:dyDescent="0.35">
      <c r="B12" s="1" t="s">
        <v>38</v>
      </c>
      <c r="C12" s="4" t="s">
        <v>39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6">
        <f t="shared" si="0"/>
        <v>7</v>
      </c>
    </row>
    <row r="13" spans="2:19" ht="16.5" customHeight="1" x14ac:dyDescent="0.35">
      <c r="B13" s="1" t="s">
        <v>40</v>
      </c>
      <c r="C13" s="4" t="s">
        <v>41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6">
        <f t="shared" si="0"/>
        <v>7</v>
      </c>
    </row>
    <row r="14" spans="2:19" ht="16.5" customHeight="1" x14ac:dyDescent="0.35">
      <c r="B14" s="1" t="s">
        <v>42</v>
      </c>
      <c r="C14" s="4" t="s">
        <v>43</v>
      </c>
      <c r="D14" s="1">
        <v>0.5</v>
      </c>
      <c r="E14" s="1">
        <v>1</v>
      </c>
      <c r="F14" s="1">
        <v>1</v>
      </c>
      <c r="G14" s="1">
        <v>0.5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/>
      <c r="P14" s="1">
        <v>1</v>
      </c>
      <c r="Q14" s="1">
        <v>1</v>
      </c>
      <c r="R14" s="1"/>
      <c r="S14" s="6">
        <f t="shared" si="0"/>
        <v>5.8</v>
      </c>
    </row>
    <row r="15" spans="2:19" ht="16.5" customHeight="1" x14ac:dyDescent="0.35">
      <c r="B15" s="1" t="s">
        <v>44</v>
      </c>
      <c r="C15" s="4" t="s">
        <v>45</v>
      </c>
      <c r="D15" s="1" t="s">
        <v>14</v>
      </c>
      <c r="E15" s="1" t="s">
        <v>14</v>
      </c>
      <c r="F15" s="1" t="s">
        <v>14</v>
      </c>
      <c r="G15" s="1" t="s">
        <v>14</v>
      </c>
      <c r="H15" s="1" t="s">
        <v>14</v>
      </c>
      <c r="I15" s="1" t="s">
        <v>14</v>
      </c>
      <c r="J15" s="1" t="s">
        <v>14</v>
      </c>
      <c r="K15" s="1" t="s">
        <v>14</v>
      </c>
      <c r="L15" s="1" t="s">
        <v>14</v>
      </c>
      <c r="M15" s="1" t="s">
        <v>14</v>
      </c>
      <c r="N15" s="1" t="s">
        <v>14</v>
      </c>
      <c r="O15" s="1" t="s">
        <v>14</v>
      </c>
      <c r="P15" s="1" t="s">
        <v>14</v>
      </c>
      <c r="Q15" s="1" t="s">
        <v>14</v>
      </c>
      <c r="R15" s="1" t="s">
        <v>14</v>
      </c>
      <c r="S15" s="6" t="s">
        <v>14</v>
      </c>
    </row>
    <row r="16" spans="2:19" ht="16.5" customHeight="1" x14ac:dyDescent="0.35">
      <c r="B16" s="1" t="s">
        <v>46</v>
      </c>
      <c r="C16" s="4" t="s">
        <v>47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6">
        <f t="shared" si="0"/>
        <v>7</v>
      </c>
    </row>
    <row r="17" spans="2:19" ht="16.5" customHeight="1" x14ac:dyDescent="0.35">
      <c r="B17" s="1" t="s">
        <v>48</v>
      </c>
      <c r="C17" s="4" t="s">
        <v>49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/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6">
        <f t="shared" si="0"/>
        <v>6.6</v>
      </c>
    </row>
    <row r="18" spans="2:19" ht="16.5" customHeight="1" x14ac:dyDescent="0.35">
      <c r="B18" s="1" t="s">
        <v>50</v>
      </c>
      <c r="C18" s="4" t="s">
        <v>51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6">
        <f t="shared" si="0"/>
        <v>7</v>
      </c>
    </row>
    <row r="19" spans="2:19" ht="16.5" customHeight="1" x14ac:dyDescent="0.35">
      <c r="B19" s="1" t="s">
        <v>52</v>
      </c>
      <c r="C19" s="4" t="s">
        <v>53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6">
        <f t="shared" si="0"/>
        <v>7</v>
      </c>
    </row>
    <row r="20" spans="2:19" ht="16.5" customHeight="1" x14ac:dyDescent="0.35">
      <c r="B20" s="1" t="s">
        <v>54</v>
      </c>
      <c r="C20" s="4" t="s">
        <v>55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/>
      <c r="R20" s="1"/>
      <c r="S20" s="6">
        <f t="shared" si="0"/>
        <v>6.2</v>
      </c>
    </row>
    <row r="21" spans="2:19" ht="16.5" customHeight="1" x14ac:dyDescent="0.35">
      <c r="B21" s="1" t="s">
        <v>56</v>
      </c>
      <c r="C21" s="4" t="s">
        <v>57</v>
      </c>
      <c r="D21" s="1">
        <v>1</v>
      </c>
      <c r="E21" s="1">
        <v>1</v>
      </c>
      <c r="F21" s="1" t="s">
        <v>14</v>
      </c>
      <c r="G21" s="1" t="s">
        <v>14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 t="s">
        <v>14</v>
      </c>
      <c r="S21" s="6">
        <f t="shared" si="0"/>
        <v>5.8</v>
      </c>
    </row>
    <row r="22" spans="2:19" ht="16.5" customHeight="1" x14ac:dyDescent="0.35">
      <c r="B22" s="1" t="s">
        <v>58</v>
      </c>
      <c r="C22" s="4" t="s">
        <v>59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6">
        <f t="shared" si="0"/>
        <v>7</v>
      </c>
    </row>
    <row r="23" spans="2:19" ht="16.5" customHeight="1" x14ac:dyDescent="0.35">
      <c r="B23" s="1" t="s">
        <v>60</v>
      </c>
      <c r="C23" s="4" t="s">
        <v>61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6">
        <f t="shared" si="0"/>
        <v>7</v>
      </c>
    </row>
    <row r="24" spans="2:19" ht="16.5" customHeight="1" x14ac:dyDescent="0.35">
      <c r="B24" s="1" t="s">
        <v>62</v>
      </c>
      <c r="C24" s="4" t="s">
        <v>63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 t="s">
        <v>14</v>
      </c>
      <c r="R24" s="1" t="s">
        <v>14</v>
      </c>
      <c r="S24" s="6">
        <f t="shared" si="0"/>
        <v>6.2</v>
      </c>
    </row>
    <row r="25" spans="2:19" ht="16.5" customHeight="1" x14ac:dyDescent="0.35">
      <c r="B25" s="1" t="s">
        <v>64</v>
      </c>
      <c r="C25" s="4" t="s">
        <v>65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6">
        <f t="shared" si="0"/>
        <v>7</v>
      </c>
    </row>
    <row r="26" spans="2:19" ht="16.5" customHeight="1" x14ac:dyDescent="0.35">
      <c r="B26" s="1" t="s">
        <v>66</v>
      </c>
      <c r="C26" s="4" t="s">
        <v>67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 t="s">
        <v>14</v>
      </c>
      <c r="P26" s="1" t="s">
        <v>14</v>
      </c>
      <c r="Q26" s="1">
        <v>1</v>
      </c>
      <c r="R26" s="1">
        <v>1</v>
      </c>
      <c r="S26" s="6">
        <f t="shared" si="0"/>
        <v>6.2</v>
      </c>
    </row>
    <row r="27" spans="2:19" ht="16.5" customHeight="1" x14ac:dyDescent="0.35">
      <c r="B27" s="1" t="s">
        <v>68</v>
      </c>
      <c r="C27" s="4" t="s">
        <v>69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6">
        <v>6.8</v>
      </c>
    </row>
    <row r="28" spans="2:19" ht="16.5" customHeight="1" x14ac:dyDescent="0.35">
      <c r="B28" s="1" t="s">
        <v>70</v>
      </c>
      <c r="C28" s="4" t="s">
        <v>71</v>
      </c>
      <c r="D28" s="1">
        <v>1</v>
      </c>
      <c r="E28" s="1">
        <v>1</v>
      </c>
      <c r="F28" s="1">
        <v>1</v>
      </c>
      <c r="G28" s="1">
        <v>1</v>
      </c>
      <c r="H28" s="1">
        <v>1</v>
      </c>
      <c r="I28" s="1">
        <v>1</v>
      </c>
      <c r="J28" s="1">
        <v>1</v>
      </c>
      <c r="K28" s="1">
        <v>1</v>
      </c>
      <c r="L28" s="1">
        <v>1</v>
      </c>
      <c r="M28" s="1">
        <v>1</v>
      </c>
      <c r="N28" s="1">
        <v>1</v>
      </c>
      <c r="O28" s="1">
        <v>1</v>
      </c>
      <c r="P28" s="1">
        <v>1</v>
      </c>
      <c r="Q28" s="1">
        <v>1</v>
      </c>
      <c r="R28" s="1"/>
      <c r="S28" s="6">
        <f t="shared" si="0"/>
        <v>6.6</v>
      </c>
    </row>
    <row r="29" spans="2:19" ht="16.5" customHeight="1" x14ac:dyDescent="0.35">
      <c r="B29" s="1" t="s">
        <v>72</v>
      </c>
      <c r="C29" s="4" t="s">
        <v>73</v>
      </c>
      <c r="D29" s="1">
        <v>1</v>
      </c>
      <c r="E29" s="1">
        <v>1</v>
      </c>
      <c r="F29" s="1">
        <v>1</v>
      </c>
      <c r="G29" s="1">
        <v>1</v>
      </c>
      <c r="H29" s="1">
        <v>1</v>
      </c>
      <c r="I29" s="1">
        <v>1</v>
      </c>
      <c r="J29" s="1">
        <v>1</v>
      </c>
      <c r="K29" s="1">
        <v>1</v>
      </c>
      <c r="L29" s="1">
        <v>1</v>
      </c>
      <c r="M29" s="1">
        <v>1</v>
      </c>
      <c r="N29" s="1">
        <v>1</v>
      </c>
      <c r="O29" s="1">
        <v>1</v>
      </c>
      <c r="P29" s="1">
        <v>1</v>
      </c>
      <c r="Q29" s="1">
        <v>1</v>
      </c>
      <c r="R29" s="1">
        <v>1</v>
      </c>
      <c r="S29" s="6">
        <f t="shared" si="0"/>
        <v>7</v>
      </c>
    </row>
    <row r="30" spans="2:19" ht="16.5" customHeight="1" x14ac:dyDescent="0.35">
      <c r="B30" s="1" t="s">
        <v>74</v>
      </c>
      <c r="C30" s="4" t="s">
        <v>75</v>
      </c>
      <c r="D30" s="1">
        <v>0.5</v>
      </c>
      <c r="E30" s="1">
        <v>0.5</v>
      </c>
      <c r="F30" s="1">
        <v>1</v>
      </c>
      <c r="G30" s="1">
        <v>0.5</v>
      </c>
      <c r="H30" s="1">
        <v>1</v>
      </c>
      <c r="I30" s="1">
        <v>1</v>
      </c>
      <c r="J30" s="1">
        <v>1</v>
      </c>
      <c r="K30" s="1">
        <v>1</v>
      </c>
      <c r="L30" s="1">
        <v>1</v>
      </c>
      <c r="M30" s="1">
        <v>1</v>
      </c>
      <c r="N30" s="1">
        <v>1</v>
      </c>
      <c r="O30" s="1">
        <v>1</v>
      </c>
      <c r="P30" s="1">
        <v>1</v>
      </c>
      <c r="Q30" s="1">
        <v>1</v>
      </c>
      <c r="R30" s="1">
        <v>1</v>
      </c>
      <c r="S30" s="6">
        <f t="shared" si="0"/>
        <v>6.4</v>
      </c>
    </row>
    <row r="31" spans="2:19" ht="16.5" customHeight="1" x14ac:dyDescent="0.35">
      <c r="B31" s="1" t="s">
        <v>76</v>
      </c>
      <c r="C31" s="4" t="s">
        <v>77</v>
      </c>
      <c r="D31" s="1">
        <v>1</v>
      </c>
      <c r="E31" s="1">
        <v>1</v>
      </c>
      <c r="F31" s="1">
        <v>1</v>
      </c>
      <c r="G31" s="1">
        <v>1</v>
      </c>
      <c r="H31" s="1">
        <v>1</v>
      </c>
      <c r="I31" s="1">
        <v>1</v>
      </c>
      <c r="J31" s="1">
        <v>1</v>
      </c>
      <c r="K31" s="1">
        <v>1</v>
      </c>
      <c r="L31" s="1">
        <v>0.5</v>
      </c>
      <c r="M31" s="1">
        <v>1</v>
      </c>
      <c r="N31" s="1">
        <v>1</v>
      </c>
      <c r="O31" s="1" t="s">
        <v>14</v>
      </c>
      <c r="P31" s="1" t="s">
        <v>14</v>
      </c>
      <c r="Q31" s="1">
        <v>1</v>
      </c>
      <c r="R31" s="1">
        <v>1</v>
      </c>
      <c r="S31" s="6">
        <f t="shared" si="0"/>
        <v>6</v>
      </c>
    </row>
    <row r="32" spans="2:19" x14ac:dyDescent="0.35">
      <c r="B32" s="38"/>
      <c r="C32" s="38"/>
    </row>
  </sheetData>
  <mergeCells count="6">
    <mergeCell ref="B1:P1"/>
    <mergeCell ref="D3:K3"/>
    <mergeCell ref="L3:P3"/>
    <mergeCell ref="S3:S4"/>
    <mergeCell ref="B32:C32"/>
    <mergeCell ref="Q3:R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FB128-E13C-44D3-9639-3BEC5C075922}">
  <sheetPr>
    <pageSetUpPr fitToPage="1"/>
  </sheetPr>
  <dimension ref="A1:K31"/>
  <sheetViews>
    <sheetView workbookViewId="0">
      <selection activeCell="L20" sqref="L20"/>
    </sheetView>
  </sheetViews>
  <sheetFormatPr baseColWidth="10" defaultColWidth="34.54296875" defaultRowHeight="14.5" x14ac:dyDescent="0.35"/>
  <cols>
    <col min="1" max="1" width="42.54296875" customWidth="1"/>
    <col min="2" max="2" width="36.54296875" bestFit="1" customWidth="1"/>
    <col min="3" max="10" width="9.54296875" customWidth="1"/>
    <col min="11" max="11" width="7.81640625" style="23" customWidth="1"/>
  </cols>
  <sheetData>
    <row r="1" spans="1:11" ht="21" customHeight="1" x14ac:dyDescent="0.5">
      <c r="A1" s="29" t="s">
        <v>2</v>
      </c>
      <c r="B1" s="29"/>
      <c r="C1" s="29"/>
      <c r="D1" s="29"/>
      <c r="E1" s="29"/>
      <c r="F1" s="29"/>
      <c r="G1" s="29"/>
      <c r="H1" s="29"/>
      <c r="I1" s="29"/>
      <c r="J1" s="29"/>
      <c r="K1" s="29"/>
    </row>
    <row r="2" spans="1:11" ht="21" x14ac:dyDescent="0.5">
      <c r="B2" s="15"/>
      <c r="C2" s="15"/>
      <c r="D2" s="15"/>
      <c r="E2" s="15"/>
      <c r="F2" s="15"/>
      <c r="G2" s="15"/>
      <c r="H2" s="15"/>
      <c r="I2" s="15"/>
      <c r="J2" s="15"/>
      <c r="K2" s="5"/>
    </row>
    <row r="3" spans="1:11" x14ac:dyDescent="0.35">
      <c r="A3" s="30"/>
      <c r="B3" s="31"/>
      <c r="C3" s="37" t="s">
        <v>3</v>
      </c>
      <c r="D3" s="37"/>
      <c r="E3" s="37"/>
      <c r="F3" s="37"/>
      <c r="G3" s="37" t="s">
        <v>4</v>
      </c>
      <c r="H3" s="37"/>
      <c r="I3" s="37"/>
      <c r="J3" s="37"/>
      <c r="K3" s="36" t="s">
        <v>13</v>
      </c>
    </row>
    <row r="4" spans="1:11" x14ac:dyDescent="0.35">
      <c r="A4" s="2" t="s">
        <v>0</v>
      </c>
      <c r="B4" s="2" t="s">
        <v>1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6"/>
    </row>
    <row r="5" spans="1:11" x14ac:dyDescent="0.35">
      <c r="A5" s="1" t="s">
        <v>24</v>
      </c>
      <c r="B5" s="4" t="s">
        <v>25</v>
      </c>
      <c r="C5" s="1"/>
      <c r="D5" s="1"/>
      <c r="E5" s="1"/>
      <c r="F5" s="1"/>
      <c r="G5" s="1"/>
      <c r="H5" s="1"/>
      <c r="I5" s="1"/>
      <c r="J5" s="1"/>
      <c r="K5" s="22"/>
    </row>
    <row r="6" spans="1:11" x14ac:dyDescent="0.35">
      <c r="A6" s="1" t="s">
        <v>26</v>
      </c>
      <c r="B6" s="4" t="s">
        <v>27</v>
      </c>
      <c r="C6" s="1">
        <v>1</v>
      </c>
      <c r="D6" s="1">
        <v>1</v>
      </c>
      <c r="E6" s="1">
        <v>1</v>
      </c>
      <c r="F6" s="1">
        <v>1</v>
      </c>
      <c r="G6" s="1">
        <v>1</v>
      </c>
      <c r="H6" s="1">
        <v>1</v>
      </c>
      <c r="I6" s="1">
        <v>1</v>
      </c>
      <c r="J6" s="1">
        <v>1</v>
      </c>
      <c r="K6" s="22">
        <f t="shared" ref="K6:K31" si="0">ROUND(6*SUM(C6:J6)/8+1,1)</f>
        <v>7</v>
      </c>
    </row>
    <row r="7" spans="1:11" x14ac:dyDescent="0.35">
      <c r="A7" s="1" t="s">
        <v>28</v>
      </c>
      <c r="B7" s="4" t="s">
        <v>29</v>
      </c>
      <c r="C7" s="1">
        <v>1</v>
      </c>
      <c r="D7" s="1">
        <v>1</v>
      </c>
      <c r="E7" s="1">
        <v>1</v>
      </c>
      <c r="F7" s="1">
        <v>1</v>
      </c>
      <c r="G7" s="1">
        <v>1</v>
      </c>
      <c r="H7" s="1">
        <v>1</v>
      </c>
      <c r="I7" s="1">
        <v>1</v>
      </c>
      <c r="J7" s="1">
        <v>1</v>
      </c>
      <c r="K7" s="22">
        <f t="shared" si="0"/>
        <v>7</v>
      </c>
    </row>
    <row r="8" spans="1:11" x14ac:dyDescent="0.35">
      <c r="A8" s="1" t="s">
        <v>30</v>
      </c>
      <c r="B8" s="4" t="s">
        <v>31</v>
      </c>
      <c r="C8" s="1">
        <v>1</v>
      </c>
      <c r="D8" s="1">
        <v>1</v>
      </c>
      <c r="E8" s="1">
        <v>1</v>
      </c>
      <c r="F8" s="1">
        <v>1</v>
      </c>
      <c r="G8" s="1">
        <v>1</v>
      </c>
      <c r="H8" s="1"/>
      <c r="I8" s="1"/>
      <c r="J8" s="1"/>
      <c r="K8" s="22">
        <f t="shared" si="0"/>
        <v>4.8</v>
      </c>
    </row>
    <row r="9" spans="1:11" x14ac:dyDescent="0.35">
      <c r="A9" s="1" t="s">
        <v>32</v>
      </c>
      <c r="B9" s="4" t="s">
        <v>33</v>
      </c>
      <c r="C9" s="1">
        <v>1</v>
      </c>
      <c r="D9" s="1">
        <v>1</v>
      </c>
      <c r="E9" s="1">
        <v>1</v>
      </c>
      <c r="F9" s="1">
        <v>1</v>
      </c>
      <c r="G9" s="1">
        <v>1</v>
      </c>
      <c r="H9" s="1">
        <v>1</v>
      </c>
      <c r="I9" s="1">
        <v>1</v>
      </c>
      <c r="J9" s="1">
        <v>1</v>
      </c>
      <c r="K9" s="22">
        <f t="shared" si="0"/>
        <v>7</v>
      </c>
    </row>
    <row r="10" spans="1:11" x14ac:dyDescent="0.35">
      <c r="A10" s="1" t="s">
        <v>34</v>
      </c>
      <c r="B10" s="4" t="s">
        <v>35</v>
      </c>
      <c r="C10" s="1">
        <v>1</v>
      </c>
      <c r="D10" s="1">
        <v>1</v>
      </c>
      <c r="E10" s="1">
        <v>1</v>
      </c>
      <c r="F10" s="1">
        <v>1</v>
      </c>
      <c r="G10" s="1">
        <v>1</v>
      </c>
      <c r="H10" s="1">
        <v>1</v>
      </c>
      <c r="I10" s="1">
        <v>1</v>
      </c>
      <c r="J10" s="1">
        <v>1</v>
      </c>
      <c r="K10" s="22">
        <f t="shared" si="0"/>
        <v>7</v>
      </c>
    </row>
    <row r="11" spans="1:11" x14ac:dyDescent="0.35">
      <c r="A11" s="1" t="s">
        <v>36</v>
      </c>
      <c r="B11" s="4" t="s">
        <v>37</v>
      </c>
      <c r="C11" s="1">
        <v>1</v>
      </c>
      <c r="D11" s="1">
        <v>1</v>
      </c>
      <c r="E11" s="1">
        <v>1</v>
      </c>
      <c r="F11" s="1">
        <v>1</v>
      </c>
      <c r="G11" s="1">
        <v>1</v>
      </c>
      <c r="H11" s="1">
        <v>1</v>
      </c>
      <c r="I11" s="1">
        <v>1</v>
      </c>
      <c r="J11" s="1">
        <v>1</v>
      </c>
      <c r="K11" s="22">
        <f t="shared" si="0"/>
        <v>7</v>
      </c>
    </row>
    <row r="12" spans="1:11" x14ac:dyDescent="0.35">
      <c r="A12" s="1" t="s">
        <v>38</v>
      </c>
      <c r="B12" s="4" t="s">
        <v>39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22">
        <f t="shared" si="0"/>
        <v>7</v>
      </c>
    </row>
    <row r="13" spans="1:11" x14ac:dyDescent="0.35">
      <c r="A13" s="1" t="s">
        <v>40</v>
      </c>
      <c r="B13" s="4" t="s">
        <v>41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22">
        <f t="shared" si="0"/>
        <v>7</v>
      </c>
    </row>
    <row r="14" spans="1:11" x14ac:dyDescent="0.35">
      <c r="A14" s="1" t="s">
        <v>42</v>
      </c>
      <c r="B14" s="4" t="s">
        <v>43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22">
        <f t="shared" si="0"/>
        <v>7</v>
      </c>
    </row>
    <row r="15" spans="1:11" x14ac:dyDescent="0.35">
      <c r="A15" s="1" t="s">
        <v>44</v>
      </c>
      <c r="B15" s="4" t="s">
        <v>45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22">
        <f t="shared" si="0"/>
        <v>7</v>
      </c>
    </row>
    <row r="16" spans="1:11" x14ac:dyDescent="0.35">
      <c r="A16" s="1" t="s">
        <v>46</v>
      </c>
      <c r="B16" s="4" t="s">
        <v>47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22">
        <f t="shared" si="0"/>
        <v>7</v>
      </c>
    </row>
    <row r="17" spans="1:11" x14ac:dyDescent="0.35">
      <c r="A17" s="1" t="s">
        <v>48</v>
      </c>
      <c r="B17" s="4" t="s">
        <v>49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22">
        <f t="shared" si="0"/>
        <v>7</v>
      </c>
    </row>
    <row r="18" spans="1:11" x14ac:dyDescent="0.35">
      <c r="A18" s="1" t="s">
        <v>50</v>
      </c>
      <c r="B18" s="4" t="s">
        <v>51</v>
      </c>
      <c r="C18" s="1"/>
      <c r="D18" s="1"/>
      <c r="E18" s="1"/>
      <c r="F18" s="1"/>
      <c r="G18" s="1"/>
      <c r="H18" s="1"/>
      <c r="I18" s="1"/>
      <c r="J18" s="1"/>
      <c r="K18" s="22"/>
    </row>
    <row r="19" spans="1:11" x14ac:dyDescent="0.35">
      <c r="A19" s="1" t="s">
        <v>52</v>
      </c>
      <c r="B19" s="4" t="s">
        <v>53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22">
        <f t="shared" si="0"/>
        <v>7</v>
      </c>
    </row>
    <row r="20" spans="1:11" x14ac:dyDescent="0.35">
      <c r="A20" s="1" t="s">
        <v>54</v>
      </c>
      <c r="B20" s="4" t="s">
        <v>55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/>
      <c r="K20" s="22">
        <f t="shared" si="0"/>
        <v>6.3</v>
      </c>
    </row>
    <row r="21" spans="1:11" x14ac:dyDescent="0.35">
      <c r="A21" s="1" t="s">
        <v>56</v>
      </c>
      <c r="B21" s="4" t="s">
        <v>57</v>
      </c>
      <c r="C21" s="1">
        <v>1</v>
      </c>
      <c r="D21" s="1"/>
      <c r="E21" s="1"/>
      <c r="F21" s="1"/>
      <c r="G21" s="1"/>
      <c r="H21" s="1"/>
      <c r="I21" s="1"/>
      <c r="J21" s="1"/>
      <c r="K21" s="22">
        <f t="shared" si="0"/>
        <v>1.8</v>
      </c>
    </row>
    <row r="22" spans="1:11" x14ac:dyDescent="0.35">
      <c r="A22" s="1" t="s">
        <v>58</v>
      </c>
      <c r="B22" s="4" t="s">
        <v>59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/>
      <c r="J22" s="1"/>
      <c r="K22" s="22">
        <f t="shared" si="0"/>
        <v>5.5</v>
      </c>
    </row>
    <row r="23" spans="1:11" x14ac:dyDescent="0.35">
      <c r="A23" s="1" t="s">
        <v>60</v>
      </c>
      <c r="B23" s="4" t="s">
        <v>61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22">
        <f t="shared" si="0"/>
        <v>7</v>
      </c>
    </row>
    <row r="24" spans="1:11" x14ac:dyDescent="0.35">
      <c r="A24" s="1" t="s">
        <v>62</v>
      </c>
      <c r="B24" s="4" t="s">
        <v>63</v>
      </c>
      <c r="C24" s="1">
        <v>1</v>
      </c>
      <c r="D24" s="1">
        <v>1</v>
      </c>
      <c r="E24" s="1">
        <v>1</v>
      </c>
      <c r="F24" s="1">
        <v>1</v>
      </c>
      <c r="G24" s="1"/>
      <c r="H24" s="1"/>
      <c r="I24" s="1"/>
      <c r="J24" s="1"/>
      <c r="K24" s="22">
        <f t="shared" si="0"/>
        <v>4</v>
      </c>
    </row>
    <row r="25" spans="1:11" x14ac:dyDescent="0.35">
      <c r="A25" s="1" t="s">
        <v>64</v>
      </c>
      <c r="B25" s="4" t="s">
        <v>65</v>
      </c>
      <c r="C25" s="1">
        <v>1</v>
      </c>
      <c r="D25" s="1">
        <v>1</v>
      </c>
      <c r="E25" s="1">
        <v>1</v>
      </c>
      <c r="F25" s="1">
        <v>1</v>
      </c>
      <c r="G25" s="1"/>
      <c r="H25" s="1"/>
      <c r="I25" s="1"/>
      <c r="J25" s="1"/>
      <c r="K25" s="22">
        <f t="shared" si="0"/>
        <v>4</v>
      </c>
    </row>
    <row r="26" spans="1:11" x14ac:dyDescent="0.35">
      <c r="A26" s="1" t="s">
        <v>66</v>
      </c>
      <c r="B26" s="4" t="s">
        <v>67</v>
      </c>
      <c r="C26" s="1">
        <v>1</v>
      </c>
      <c r="D26" s="1">
        <v>1</v>
      </c>
      <c r="E26" s="1">
        <v>1</v>
      </c>
      <c r="F26" s="1"/>
      <c r="G26" s="1"/>
      <c r="H26" s="1"/>
      <c r="I26" s="1"/>
      <c r="J26" s="1"/>
      <c r="K26" s="22">
        <f t="shared" si="0"/>
        <v>3.3</v>
      </c>
    </row>
    <row r="27" spans="1:11" x14ac:dyDescent="0.35">
      <c r="A27" s="1" t="s">
        <v>68</v>
      </c>
      <c r="B27" s="4" t="s">
        <v>69</v>
      </c>
      <c r="C27" s="1"/>
      <c r="D27" s="1"/>
      <c r="E27" s="1"/>
      <c r="F27" s="1"/>
      <c r="G27" s="1"/>
      <c r="H27" s="1"/>
      <c r="I27" s="1"/>
      <c r="J27" s="1"/>
      <c r="K27" s="22">
        <v>7</v>
      </c>
    </row>
    <row r="28" spans="1:11" x14ac:dyDescent="0.35">
      <c r="A28" s="1" t="s">
        <v>70</v>
      </c>
      <c r="B28" s="4" t="s">
        <v>71</v>
      </c>
      <c r="C28" s="1">
        <v>1</v>
      </c>
      <c r="D28" s="1">
        <v>1</v>
      </c>
      <c r="E28" s="1">
        <v>1</v>
      </c>
      <c r="F28" s="1">
        <v>1</v>
      </c>
      <c r="G28" s="1">
        <v>1</v>
      </c>
      <c r="H28" s="1"/>
      <c r="I28" s="1"/>
      <c r="J28" s="1"/>
      <c r="K28" s="22">
        <f t="shared" si="0"/>
        <v>4.8</v>
      </c>
    </row>
    <row r="29" spans="1:11" x14ac:dyDescent="0.35">
      <c r="A29" s="1" t="s">
        <v>72</v>
      </c>
      <c r="B29" s="4" t="s">
        <v>73</v>
      </c>
      <c r="C29" s="1">
        <v>1</v>
      </c>
      <c r="D29" s="1">
        <v>1</v>
      </c>
      <c r="E29" s="1">
        <v>1</v>
      </c>
      <c r="F29" s="1">
        <v>1</v>
      </c>
      <c r="G29" s="1">
        <v>1</v>
      </c>
      <c r="H29" s="1">
        <v>1</v>
      </c>
      <c r="I29" s="1">
        <v>1</v>
      </c>
      <c r="J29" s="1">
        <v>1</v>
      </c>
      <c r="K29" s="22">
        <f t="shared" si="0"/>
        <v>7</v>
      </c>
    </row>
    <row r="30" spans="1:11" x14ac:dyDescent="0.35">
      <c r="A30" s="1" t="s">
        <v>74</v>
      </c>
      <c r="B30" s="4" t="s">
        <v>75</v>
      </c>
      <c r="C30" s="1">
        <v>1</v>
      </c>
      <c r="D30" s="1">
        <v>1</v>
      </c>
      <c r="E30" s="1">
        <v>1</v>
      </c>
      <c r="F30" s="1">
        <v>1</v>
      </c>
      <c r="G30" s="1">
        <v>1</v>
      </c>
      <c r="H30" s="1">
        <v>1</v>
      </c>
      <c r="I30" s="1">
        <v>1</v>
      </c>
      <c r="J30" s="1">
        <v>1</v>
      </c>
      <c r="K30" s="22">
        <f t="shared" si="0"/>
        <v>7</v>
      </c>
    </row>
    <row r="31" spans="1:11" x14ac:dyDescent="0.35">
      <c r="A31" s="1" t="s">
        <v>76</v>
      </c>
      <c r="B31" s="4" t="s">
        <v>77</v>
      </c>
      <c r="C31" s="1">
        <v>1</v>
      </c>
      <c r="D31" s="1">
        <v>1</v>
      </c>
      <c r="E31" s="1">
        <v>1</v>
      </c>
      <c r="F31" s="1">
        <v>1</v>
      </c>
      <c r="G31" s="1">
        <v>1</v>
      </c>
      <c r="H31" s="1">
        <v>1</v>
      </c>
      <c r="I31" s="1">
        <v>1</v>
      </c>
      <c r="J31" s="1"/>
      <c r="K31" s="22">
        <f t="shared" si="0"/>
        <v>6.3</v>
      </c>
    </row>
  </sheetData>
  <mergeCells count="5">
    <mergeCell ref="C3:F3"/>
    <mergeCell ref="G3:J3"/>
    <mergeCell ref="K3:K4"/>
    <mergeCell ref="A3:B3"/>
    <mergeCell ref="A1:K1"/>
  </mergeCells>
  <conditionalFormatting sqref="C5:J3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scale="75" orientation="landscape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2CA54-FEA0-4F20-B3FC-437CC3B1FF1E}">
  <dimension ref="B2:J31"/>
  <sheetViews>
    <sheetView tabSelected="1" topLeftCell="A2" zoomScale="105" workbookViewId="0">
      <selection activeCell="L18" sqref="L18"/>
    </sheetView>
  </sheetViews>
  <sheetFormatPr baseColWidth="10" defaultRowHeight="14.5" x14ac:dyDescent="0.35"/>
  <cols>
    <col min="2" max="2" width="40.1796875" customWidth="1"/>
    <col min="7" max="7" width="9.453125" customWidth="1"/>
    <col min="8" max="9" width="8.1796875" customWidth="1"/>
  </cols>
  <sheetData>
    <row r="2" spans="2:10" ht="21" x14ac:dyDescent="0.5">
      <c r="B2" s="29" t="s">
        <v>23</v>
      </c>
      <c r="C2" s="29"/>
      <c r="D2" s="29"/>
      <c r="E2" s="29"/>
      <c r="F2" s="29"/>
      <c r="G2" s="29"/>
      <c r="H2" s="29"/>
      <c r="I2" s="29"/>
      <c r="J2" s="29"/>
    </row>
    <row r="3" spans="2:10" ht="15" thickBot="1" x14ac:dyDescent="0.4">
      <c r="B3" s="7"/>
    </row>
    <row r="4" spans="2:10" ht="15" thickBot="1" x14ac:dyDescent="0.4">
      <c r="B4" s="8" t="s">
        <v>0</v>
      </c>
      <c r="C4" s="9" t="s">
        <v>20</v>
      </c>
      <c r="D4" s="9" t="s">
        <v>21</v>
      </c>
      <c r="E4" s="9" t="s">
        <v>83</v>
      </c>
      <c r="F4" s="9" t="s">
        <v>92</v>
      </c>
      <c r="G4" s="13" t="s">
        <v>93</v>
      </c>
      <c r="H4" s="13" t="s">
        <v>94</v>
      </c>
      <c r="I4" s="41" t="s">
        <v>95</v>
      </c>
      <c r="J4" s="10" t="s">
        <v>22</v>
      </c>
    </row>
    <row r="5" spans="2:10" x14ac:dyDescent="0.35">
      <c r="B5" s="1" t="s">
        <v>24</v>
      </c>
      <c r="C5" s="42"/>
      <c r="D5" s="11">
        <f>'Semana 5-2006'!S5</f>
        <v>7</v>
      </c>
      <c r="E5" s="11">
        <f>'semana7-2026'!G5</f>
        <v>7</v>
      </c>
      <c r="F5" s="11">
        <f>'semana8-2026'!I5</f>
        <v>7</v>
      </c>
      <c r="G5" s="14">
        <v>7</v>
      </c>
      <c r="H5" s="14">
        <v>7</v>
      </c>
      <c r="I5" s="14">
        <v>7</v>
      </c>
      <c r="J5" s="12">
        <f>AVERAGE(C5:I5)</f>
        <v>7</v>
      </c>
    </row>
    <row r="6" spans="2:10" x14ac:dyDescent="0.35">
      <c r="B6" s="1" t="s">
        <v>26</v>
      </c>
      <c r="C6" s="11">
        <f>'Semana 3-2026'!K6</f>
        <v>7</v>
      </c>
      <c r="D6" s="11">
        <f>'Semana 5-2006'!S6</f>
        <v>7</v>
      </c>
      <c r="E6" s="11">
        <f>'semana7-2026'!G6</f>
        <v>7</v>
      </c>
      <c r="F6" s="11">
        <f>'semana8-2026'!I6</f>
        <v>7</v>
      </c>
      <c r="G6" s="14">
        <v>7</v>
      </c>
      <c r="H6" s="14">
        <v>7</v>
      </c>
      <c r="I6" s="14">
        <v>7</v>
      </c>
      <c r="J6" s="12">
        <f t="shared" ref="J6:J31" si="0">AVERAGE(C6:I6)</f>
        <v>7</v>
      </c>
    </row>
    <row r="7" spans="2:10" x14ac:dyDescent="0.35">
      <c r="B7" s="1" t="s">
        <v>28</v>
      </c>
      <c r="C7" s="11">
        <f>'Semana 3-2026'!K7</f>
        <v>7</v>
      </c>
      <c r="D7" s="11">
        <f>'Semana 5-2006'!S7</f>
        <v>7</v>
      </c>
      <c r="E7" s="11">
        <f>'semana7-2026'!G7</f>
        <v>7</v>
      </c>
      <c r="F7" s="11">
        <f>'semana8-2026'!I7</f>
        <v>7</v>
      </c>
      <c r="G7" s="14">
        <v>7</v>
      </c>
      <c r="H7" s="43"/>
      <c r="I7" s="14">
        <v>7</v>
      </c>
      <c r="J7" s="12">
        <f t="shared" si="0"/>
        <v>7</v>
      </c>
    </row>
    <row r="8" spans="2:10" x14ac:dyDescent="0.35">
      <c r="B8" s="1" t="s">
        <v>30</v>
      </c>
      <c r="C8" s="11">
        <f>'Semana 3-2026'!K8</f>
        <v>4.8</v>
      </c>
      <c r="D8" s="11">
        <f>'Semana 5-2006'!S8</f>
        <v>5</v>
      </c>
      <c r="E8" s="11">
        <f>'semana7-2026'!G8</f>
        <v>5</v>
      </c>
      <c r="F8" s="11">
        <f>'semana8-2026'!I8</f>
        <v>7</v>
      </c>
      <c r="G8" s="43"/>
      <c r="H8" s="14">
        <v>7</v>
      </c>
      <c r="I8" s="14">
        <v>6.4</v>
      </c>
      <c r="J8" s="12">
        <f t="shared" si="0"/>
        <v>5.8666666666666671</v>
      </c>
    </row>
    <row r="9" spans="2:10" x14ac:dyDescent="0.35">
      <c r="B9" s="1" t="s">
        <v>32</v>
      </c>
      <c r="C9" s="11">
        <f>'Semana 3-2026'!K9</f>
        <v>7</v>
      </c>
      <c r="D9" s="11">
        <f>'Semana 5-2006'!S9</f>
        <v>7</v>
      </c>
      <c r="E9" s="11">
        <f>'semana7-2026'!G9</f>
        <v>7</v>
      </c>
      <c r="F9" s="11">
        <f>'semana8-2026'!I9</f>
        <v>7</v>
      </c>
      <c r="G9" s="14">
        <v>6.5</v>
      </c>
      <c r="H9" s="43"/>
      <c r="I9" s="14">
        <v>7</v>
      </c>
      <c r="J9" s="12">
        <f t="shared" si="0"/>
        <v>6.916666666666667</v>
      </c>
    </row>
    <row r="10" spans="2:10" x14ac:dyDescent="0.35">
      <c r="B10" s="1" t="s">
        <v>34</v>
      </c>
      <c r="C10" s="11">
        <f>'Semana 3-2026'!K10</f>
        <v>7</v>
      </c>
      <c r="D10" s="11">
        <f>'Semana 5-2006'!S10</f>
        <v>6.2</v>
      </c>
      <c r="E10" s="11">
        <f>'semana7-2026'!G10</f>
        <v>7</v>
      </c>
      <c r="F10" s="11">
        <f>'semana8-2026'!I10</f>
        <v>7</v>
      </c>
      <c r="G10" s="14">
        <v>7</v>
      </c>
      <c r="H10" s="14">
        <v>7</v>
      </c>
      <c r="I10" s="43" t="s">
        <v>14</v>
      </c>
      <c r="J10" s="12">
        <f t="shared" si="0"/>
        <v>6.8666666666666671</v>
      </c>
    </row>
    <row r="11" spans="2:10" x14ac:dyDescent="0.35">
      <c r="B11" s="1" t="s">
        <v>36</v>
      </c>
      <c r="C11" s="11">
        <f>'Semana 3-2026'!K11</f>
        <v>7</v>
      </c>
      <c r="D11" s="11">
        <f>'Semana 5-2006'!S11</f>
        <v>6.4</v>
      </c>
      <c r="E11" s="11">
        <f>'semana7-2026'!G11</f>
        <v>7</v>
      </c>
      <c r="F11" s="42" t="s">
        <v>14</v>
      </c>
      <c r="G11" s="14">
        <v>7</v>
      </c>
      <c r="H11" s="14">
        <v>7</v>
      </c>
      <c r="I11" s="14">
        <v>7</v>
      </c>
      <c r="J11" s="12">
        <f t="shared" si="0"/>
        <v>6.8999999999999995</v>
      </c>
    </row>
    <row r="12" spans="2:10" x14ac:dyDescent="0.35">
      <c r="B12" s="1" t="s">
        <v>38</v>
      </c>
      <c r="C12" s="11">
        <f>'Semana 3-2026'!K12</f>
        <v>7</v>
      </c>
      <c r="D12" s="11">
        <f>'Semana 5-2006'!S12</f>
        <v>7</v>
      </c>
      <c r="E12" s="11">
        <f>'semana7-2026'!G12</f>
        <v>7</v>
      </c>
      <c r="F12" s="11">
        <f>'semana8-2026'!I12</f>
        <v>7</v>
      </c>
      <c r="G12" s="43"/>
      <c r="H12" s="14">
        <v>7</v>
      </c>
      <c r="I12" s="14">
        <v>7</v>
      </c>
      <c r="J12" s="12">
        <f t="shared" si="0"/>
        <v>7</v>
      </c>
    </row>
    <row r="13" spans="2:10" x14ac:dyDescent="0.35">
      <c r="B13" s="1" t="s">
        <v>40</v>
      </c>
      <c r="C13" s="11">
        <f>'Semana 3-2026'!K13</f>
        <v>7</v>
      </c>
      <c r="D13" s="11">
        <f>'Semana 5-2006'!S13</f>
        <v>7</v>
      </c>
      <c r="E13" s="11">
        <f>'semana7-2026'!G13</f>
        <v>7</v>
      </c>
      <c r="F13" s="11">
        <f>'semana8-2026'!I13</f>
        <v>7</v>
      </c>
      <c r="G13" s="14">
        <v>6.5</v>
      </c>
      <c r="H13" s="14">
        <v>7</v>
      </c>
      <c r="I13" s="43" t="s">
        <v>14</v>
      </c>
      <c r="J13" s="12">
        <f t="shared" si="0"/>
        <v>6.916666666666667</v>
      </c>
    </row>
    <row r="14" spans="2:10" x14ac:dyDescent="0.35">
      <c r="B14" s="1" t="s">
        <v>42</v>
      </c>
      <c r="C14" s="11">
        <f>'Semana 3-2026'!K14</f>
        <v>7</v>
      </c>
      <c r="D14" s="11">
        <f>'Semana 5-2006'!S14</f>
        <v>5.8</v>
      </c>
      <c r="E14" s="11">
        <f>'semana7-2026'!G14</f>
        <v>7</v>
      </c>
      <c r="F14" s="11">
        <f>'semana8-2026'!I14</f>
        <v>7</v>
      </c>
      <c r="G14" s="43"/>
      <c r="H14" s="14">
        <v>7</v>
      </c>
      <c r="I14" s="14">
        <v>7</v>
      </c>
      <c r="J14" s="12">
        <f t="shared" si="0"/>
        <v>6.8</v>
      </c>
    </row>
    <row r="15" spans="2:10" x14ac:dyDescent="0.35">
      <c r="B15" s="1" t="s">
        <v>44</v>
      </c>
      <c r="C15" s="11">
        <f>'Semana 3-2026'!K15</f>
        <v>7</v>
      </c>
      <c r="D15" s="11">
        <v>1</v>
      </c>
      <c r="E15" s="11">
        <v>1</v>
      </c>
      <c r="F15" s="11">
        <f>'semana8-2026'!I15</f>
        <v>7</v>
      </c>
      <c r="G15" s="14">
        <v>7</v>
      </c>
      <c r="H15" s="14">
        <v>7</v>
      </c>
      <c r="I15" s="43" t="s">
        <v>14</v>
      </c>
      <c r="J15" s="12">
        <f t="shared" si="0"/>
        <v>5</v>
      </c>
    </row>
    <row r="16" spans="2:10" x14ac:dyDescent="0.35">
      <c r="B16" s="1" t="s">
        <v>46</v>
      </c>
      <c r="C16" s="11">
        <f>'Semana 3-2026'!K16</f>
        <v>7</v>
      </c>
      <c r="D16" s="11">
        <f>'Semana 5-2006'!S16</f>
        <v>7</v>
      </c>
      <c r="E16" s="11">
        <f>'semana7-2026'!G16</f>
        <v>7</v>
      </c>
      <c r="F16" s="11">
        <f>'semana8-2026'!I16</f>
        <v>7</v>
      </c>
      <c r="G16" s="43"/>
      <c r="H16" s="14">
        <v>7</v>
      </c>
      <c r="I16" s="14">
        <v>7</v>
      </c>
      <c r="J16" s="12">
        <f t="shared" si="0"/>
        <v>7</v>
      </c>
    </row>
    <row r="17" spans="2:10" x14ac:dyDescent="0.35">
      <c r="B17" s="1" t="s">
        <v>48</v>
      </c>
      <c r="C17" s="11">
        <f>'Semana 3-2026'!K17</f>
        <v>7</v>
      </c>
      <c r="D17" s="42"/>
      <c r="E17" s="11">
        <f>'semana7-2026'!G17</f>
        <v>7</v>
      </c>
      <c r="F17" s="11">
        <f>'semana8-2026'!I17</f>
        <v>7</v>
      </c>
      <c r="G17" s="14">
        <v>7</v>
      </c>
      <c r="H17" s="14">
        <v>7</v>
      </c>
      <c r="I17" s="14">
        <v>7</v>
      </c>
      <c r="J17" s="12">
        <f t="shared" si="0"/>
        <v>7</v>
      </c>
    </row>
    <row r="18" spans="2:10" x14ac:dyDescent="0.35">
      <c r="B18" s="1" t="s">
        <v>50</v>
      </c>
      <c r="C18" s="42"/>
      <c r="D18" s="11">
        <f>'Semana 5-2006'!S18</f>
        <v>7</v>
      </c>
      <c r="E18" s="11">
        <f>'semana7-2026'!G18</f>
        <v>6.1</v>
      </c>
      <c r="F18" s="11">
        <f>'semana8-2026'!I18</f>
        <v>7</v>
      </c>
      <c r="G18" s="14">
        <v>7</v>
      </c>
      <c r="H18" s="14">
        <v>7</v>
      </c>
      <c r="I18" s="14">
        <v>7</v>
      </c>
      <c r="J18" s="12">
        <f t="shared" si="0"/>
        <v>6.8500000000000005</v>
      </c>
    </row>
    <row r="19" spans="2:10" x14ac:dyDescent="0.35">
      <c r="B19" s="1" t="s">
        <v>52</v>
      </c>
      <c r="C19" s="42">
        <f>'Semana 3-2026'!K19</f>
        <v>7</v>
      </c>
      <c r="D19" s="11">
        <f>'Semana 5-2006'!S19</f>
        <v>7</v>
      </c>
      <c r="E19" s="11">
        <f>'semana7-2026'!G19</f>
        <v>6.5</v>
      </c>
      <c r="F19" s="11">
        <f>'semana8-2026'!I19</f>
        <v>7</v>
      </c>
      <c r="G19" s="14">
        <v>6.5</v>
      </c>
      <c r="H19" s="14">
        <v>7</v>
      </c>
      <c r="I19" s="14">
        <v>5.2</v>
      </c>
      <c r="J19" s="12">
        <f t="shared" si="0"/>
        <v>6.6000000000000005</v>
      </c>
    </row>
    <row r="20" spans="2:10" x14ac:dyDescent="0.35">
      <c r="B20" s="1" t="s">
        <v>54</v>
      </c>
      <c r="C20" s="11">
        <f>'Semana 3-2026'!K20</f>
        <v>6.3</v>
      </c>
      <c r="D20" s="11">
        <f>'Semana 5-2006'!S20</f>
        <v>6.2</v>
      </c>
      <c r="E20" s="11">
        <f>'semana7-2026'!G20</f>
        <v>5.5</v>
      </c>
      <c r="F20" s="11">
        <f>'semana8-2026'!I20</f>
        <v>6</v>
      </c>
      <c r="G20" s="43"/>
      <c r="H20" s="14">
        <v>7</v>
      </c>
      <c r="I20" s="14">
        <v>7</v>
      </c>
      <c r="J20" s="12">
        <f t="shared" si="0"/>
        <v>6.333333333333333</v>
      </c>
    </row>
    <row r="21" spans="2:10" x14ac:dyDescent="0.35">
      <c r="B21" s="1" t="s">
        <v>56</v>
      </c>
      <c r="C21" s="42"/>
      <c r="D21" s="11">
        <f>'Semana 5-2006'!S21</f>
        <v>5.8</v>
      </c>
      <c r="E21" s="11">
        <f>'semana7-2026'!G21</f>
        <v>7</v>
      </c>
      <c r="F21" s="11">
        <f>'semana8-2026'!I21</f>
        <v>7</v>
      </c>
      <c r="G21" s="14">
        <v>7</v>
      </c>
      <c r="H21" s="14">
        <v>7</v>
      </c>
      <c r="I21" s="14">
        <v>7</v>
      </c>
      <c r="J21" s="12">
        <f t="shared" si="0"/>
        <v>6.8</v>
      </c>
    </row>
    <row r="22" spans="2:10" x14ac:dyDescent="0.35">
      <c r="B22" s="1" t="s">
        <v>58</v>
      </c>
      <c r="C22" s="44">
        <f>'Semana 3-2026'!K22</f>
        <v>5.5</v>
      </c>
      <c r="D22" s="11">
        <f>'Semana 5-2006'!S22</f>
        <v>7</v>
      </c>
      <c r="E22" s="11">
        <f>'semana7-2026'!G22</f>
        <v>6.2</v>
      </c>
      <c r="F22" s="11">
        <f>'semana8-2026'!I22</f>
        <v>7</v>
      </c>
      <c r="G22" s="14">
        <v>6</v>
      </c>
      <c r="H22" s="14">
        <v>7</v>
      </c>
      <c r="I22" s="43"/>
      <c r="J22" s="12">
        <f t="shared" si="0"/>
        <v>6.45</v>
      </c>
    </row>
    <row r="23" spans="2:10" x14ac:dyDescent="0.35">
      <c r="B23" s="1" t="s">
        <v>60</v>
      </c>
      <c r="C23" s="11">
        <f>'Semana 3-2026'!K23</f>
        <v>7</v>
      </c>
      <c r="D23" s="11">
        <f>'Semana 5-2006'!S23</f>
        <v>7</v>
      </c>
      <c r="E23" s="11">
        <f>'semana7-2026'!G23</f>
        <v>7</v>
      </c>
      <c r="F23" s="11">
        <f>'semana8-2026'!I23</f>
        <v>7</v>
      </c>
      <c r="G23" s="14">
        <v>7</v>
      </c>
      <c r="H23" s="43"/>
      <c r="I23" s="14">
        <v>7</v>
      </c>
      <c r="J23" s="12">
        <f t="shared" si="0"/>
        <v>7</v>
      </c>
    </row>
    <row r="24" spans="2:10" x14ac:dyDescent="0.35">
      <c r="B24" s="1" t="s">
        <v>62</v>
      </c>
      <c r="C24" s="11">
        <f>'Semana 3-2026'!K24</f>
        <v>4</v>
      </c>
      <c r="D24" s="11">
        <f>'Semana 5-2006'!S24</f>
        <v>6.2</v>
      </c>
      <c r="E24" s="11">
        <f>'semana7-2026'!G24</f>
        <v>7</v>
      </c>
      <c r="F24" s="42" t="s">
        <v>14</v>
      </c>
      <c r="G24" s="14">
        <v>6</v>
      </c>
      <c r="H24" s="14">
        <v>4</v>
      </c>
      <c r="I24" s="14">
        <v>5.8</v>
      </c>
      <c r="J24" s="12">
        <f t="shared" si="0"/>
        <v>5.5</v>
      </c>
    </row>
    <row r="25" spans="2:10" x14ac:dyDescent="0.35">
      <c r="B25" s="1" t="s">
        <v>64</v>
      </c>
      <c r="C25" s="42"/>
      <c r="D25" s="11">
        <f>'Semana 5-2006'!S25</f>
        <v>7</v>
      </c>
      <c r="E25" s="11">
        <f>'semana7-2026'!G25</f>
        <v>7</v>
      </c>
      <c r="F25" s="44">
        <f>'semana8-2026'!I25</f>
        <v>7</v>
      </c>
      <c r="G25" s="14">
        <v>6.5</v>
      </c>
      <c r="H25" s="14">
        <v>7</v>
      </c>
      <c r="I25" s="14">
        <v>7</v>
      </c>
      <c r="J25" s="12">
        <f t="shared" si="0"/>
        <v>6.916666666666667</v>
      </c>
    </row>
    <row r="26" spans="2:10" x14ac:dyDescent="0.35">
      <c r="B26" s="1" t="s">
        <v>66</v>
      </c>
      <c r="C26" s="42"/>
      <c r="D26" s="11">
        <f>'Semana 5-2006'!S26</f>
        <v>6.2</v>
      </c>
      <c r="E26" s="11">
        <f>'semana7-2026'!G26</f>
        <v>4.7</v>
      </c>
      <c r="F26" s="11">
        <f>'semana8-2026'!I26</f>
        <v>7</v>
      </c>
      <c r="G26" s="14">
        <v>7</v>
      </c>
      <c r="H26" s="14">
        <v>7</v>
      </c>
      <c r="I26" s="14">
        <v>7</v>
      </c>
      <c r="J26" s="12">
        <f t="shared" si="0"/>
        <v>6.4833333333333334</v>
      </c>
    </row>
    <row r="27" spans="2:10" x14ac:dyDescent="0.35">
      <c r="B27" s="1" t="s">
        <v>68</v>
      </c>
      <c r="C27" s="11">
        <f>'Semana 3-2026'!K27</f>
        <v>7</v>
      </c>
      <c r="D27" s="42"/>
      <c r="E27" s="11">
        <f>'semana7-2026'!G27</f>
        <v>7</v>
      </c>
      <c r="F27" s="11">
        <v>7</v>
      </c>
      <c r="G27" s="14">
        <v>7</v>
      </c>
      <c r="H27" s="14">
        <v>7</v>
      </c>
      <c r="I27" s="14">
        <v>7</v>
      </c>
      <c r="J27" s="12">
        <f t="shared" si="0"/>
        <v>7</v>
      </c>
    </row>
    <row r="28" spans="2:10" x14ac:dyDescent="0.35">
      <c r="B28" s="1" t="s">
        <v>70</v>
      </c>
      <c r="C28" s="42"/>
      <c r="D28" s="11">
        <f>'Semana 5-2006'!S28</f>
        <v>6.6</v>
      </c>
      <c r="E28" s="11">
        <f>'semana7-2026'!G28</f>
        <v>7</v>
      </c>
      <c r="F28" s="11">
        <f>'semana8-2026'!I28</f>
        <v>7</v>
      </c>
      <c r="G28" s="14">
        <v>7</v>
      </c>
      <c r="H28" s="14">
        <v>7</v>
      </c>
      <c r="I28" s="14">
        <v>7</v>
      </c>
      <c r="J28" s="12">
        <f t="shared" si="0"/>
        <v>6.9333333333333336</v>
      </c>
    </row>
    <row r="29" spans="2:10" x14ac:dyDescent="0.35">
      <c r="B29" s="1" t="s">
        <v>72</v>
      </c>
      <c r="C29" s="11">
        <f>'Semana 3-2026'!K29</f>
        <v>7</v>
      </c>
      <c r="D29" s="11">
        <f>'Semana 5-2006'!S29</f>
        <v>7</v>
      </c>
      <c r="E29" s="11">
        <f>'semana7-2026'!G29</f>
        <v>7</v>
      </c>
      <c r="F29" s="11">
        <f>'semana8-2026'!I29</f>
        <v>7</v>
      </c>
      <c r="G29" s="14">
        <v>7</v>
      </c>
      <c r="H29" s="43"/>
      <c r="I29" s="14">
        <v>7</v>
      </c>
      <c r="J29" s="12">
        <f t="shared" si="0"/>
        <v>7</v>
      </c>
    </row>
    <row r="30" spans="2:10" x14ac:dyDescent="0.35">
      <c r="B30" s="1" t="s">
        <v>74</v>
      </c>
      <c r="C30" s="11">
        <f>'Semana 3-2026'!K30</f>
        <v>7</v>
      </c>
      <c r="D30" s="11">
        <f>'Semana 5-2006'!S30</f>
        <v>6.4</v>
      </c>
      <c r="E30" s="11">
        <f>'semana7-2026'!G30</f>
        <v>7</v>
      </c>
      <c r="F30" s="11">
        <f>'semana8-2026'!I30</f>
        <v>7</v>
      </c>
      <c r="G30" s="14">
        <v>7</v>
      </c>
      <c r="H30" s="14">
        <v>7</v>
      </c>
      <c r="I30" s="43" t="s">
        <v>14</v>
      </c>
      <c r="J30" s="12">
        <f t="shared" si="0"/>
        <v>6.8999999999999995</v>
      </c>
    </row>
    <row r="31" spans="2:10" x14ac:dyDescent="0.35">
      <c r="B31" s="1" t="s">
        <v>76</v>
      </c>
      <c r="C31" s="11">
        <f>'Semana 3-2026'!K31</f>
        <v>6.3</v>
      </c>
      <c r="D31" s="42"/>
      <c r="E31" s="11">
        <f>'semana7-2026'!G31</f>
        <v>6.6</v>
      </c>
      <c r="F31" s="11">
        <f>'semana8-2026'!I31</f>
        <v>7</v>
      </c>
      <c r="G31" s="14">
        <v>7</v>
      </c>
      <c r="H31" s="14">
        <v>7</v>
      </c>
      <c r="I31" s="14">
        <v>6.4</v>
      </c>
      <c r="J31" s="12">
        <f t="shared" si="0"/>
        <v>6.7166666666666659</v>
      </c>
    </row>
  </sheetData>
  <mergeCells count="1">
    <mergeCell ref="B2:J2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semana8-2026</vt:lpstr>
      <vt:lpstr>semana7-2026</vt:lpstr>
      <vt:lpstr>Semana 5-2006</vt:lpstr>
      <vt:lpstr>Semana 3-2026</vt:lpstr>
      <vt:lpstr>Promedio Prácticos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 Salazar Fernández</dc:creator>
  <cp:lastModifiedBy>Juan Pablo Salazar Fernández</cp:lastModifiedBy>
  <cp:lastPrinted>2026-03-26T16:25:56Z</cp:lastPrinted>
  <dcterms:created xsi:type="dcterms:W3CDTF">2025-03-27T14:23:33Z</dcterms:created>
  <dcterms:modified xsi:type="dcterms:W3CDTF">2026-06-30T14:51:59Z</dcterms:modified>
</cp:coreProperties>
</file>